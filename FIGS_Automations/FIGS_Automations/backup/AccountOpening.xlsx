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720"/>
  </bookViews>
  <sheets>
    <sheet name="eKYC" sheetId="1" r:id="rId1"/>
    <sheet name="RDSTDR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8" i="2" l="1"/>
  <c r="L19" i="2"/>
  <c r="L20" i="2"/>
  <c r="L17" i="2" l="1"/>
  <c r="L22" i="2" l="1"/>
  <c r="L21" i="2"/>
  <c r="L40" i="2" l="1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135" i="1" l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K109" i="1" s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G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G71" i="1"/>
  <c r="L70" i="1"/>
  <c r="K70" i="1"/>
  <c r="L69" i="1"/>
  <c r="K69" i="1"/>
  <c r="L68" i="1"/>
  <c r="K68" i="1"/>
  <c r="L67" i="1"/>
  <c r="K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K11" i="1"/>
  <c r="L10" i="1"/>
  <c r="K10" i="1"/>
  <c r="L9" i="1"/>
  <c r="K9" i="1"/>
  <c r="L8" i="1"/>
  <c r="L7" i="1"/>
  <c r="K7" i="1"/>
  <c r="L6" i="1"/>
  <c r="K6" i="1"/>
  <c r="L5" i="1"/>
  <c r="L4" i="1"/>
  <c r="L3" i="1"/>
</calcChain>
</file>

<file path=xl/sharedStrings.xml><?xml version="1.0" encoding="utf-8"?>
<sst xmlns="http://schemas.openxmlformats.org/spreadsheetml/2006/main" count="1952" uniqueCount="947">
  <si>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</si>
  <si>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</si>
  <si>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</si>
  <si>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</si>
  <si>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</si>
  <si>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</si>
  <si>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</si>
  <si>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</si>
  <si>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</si>
  <si>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</si>
  <si>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</si>
  <si>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Testcase ID</t>
  </si>
  <si>
    <t>Test Scenario</t>
  </si>
  <si>
    <t>Testcase Description</t>
  </si>
  <si>
    <t>Expected Results</t>
  </si>
  <si>
    <t>Test Data</t>
  </si>
  <si>
    <t>Validation</t>
  </si>
  <si>
    <t>Test Validation</t>
  </si>
  <si>
    <t>Expected Code Status</t>
  </si>
  <si>
    <t>Actual Result</t>
  </si>
  <si>
    <t>Status</t>
  </si>
  <si>
    <t>Run_Status</t>
  </si>
  <si>
    <t>Final Status</t>
  </si>
  <si>
    <t>Xpath Validation</t>
  </si>
  <si>
    <t>TCCC001</t>
  </si>
  <si>
    <t>Account Opening</t>
  </si>
  <si>
    <t>Click on Account Opening</t>
  </si>
  <si>
    <t>User should get drop down of two sub Functionalities.</t>
  </si>
  <si>
    <t/>
  </si>
  <si>
    <t>CustomerCreation</t>
  </si>
  <si>
    <t>Pass</t>
  </si>
  <si>
    <t>Y</t>
  </si>
  <si>
    <t>TCCC002</t>
  </si>
  <si>
    <t>Select eKYC sub function</t>
  </si>
  <si>
    <t xml:space="preserve">after clicking eKYC user if user do't have ref number, then they will get text field for adhaar number </t>
  </si>
  <si>
    <t>click eKYC</t>
  </si>
  <si>
    <t>User is able to navigate Account open details Tab</t>
  </si>
  <si>
    <t>TCCC003</t>
  </si>
  <si>
    <t>If customer has any Reference Number or not, if no then chose EnterAdhaar Number</t>
  </si>
  <si>
    <t>user should able to chose adhaar number or Reference number</t>
  </si>
  <si>
    <t>HaveReference</t>
  </si>
  <si>
    <t>Yes</t>
  </si>
  <si>
    <t>Yes is selected/Entered</t>
  </si>
  <si>
    <t>If customer has any Reference Number  , give reference number</t>
  </si>
  <si>
    <t>user should able to give reference number</t>
  </si>
  <si>
    <t>EnterReferenceNumber</t>
  </si>
  <si>
    <t>Enter Reference Number</t>
  </si>
  <si>
    <t>Reference Number SBI522516345368 Entered.</t>
  </si>
  <si>
    <t>Pass_01/09/2025 1:25:55 pm</t>
  </si>
  <si>
    <t>If customer has not Reference Number  then EnterAdhaar Number</t>
  </si>
  <si>
    <t>user should able to give adhaar number</t>
  </si>
  <si>
    <t>633219036361</t>
  </si>
  <si>
    <t>EnterAdhaarNumber</t>
  </si>
  <si>
    <t>Enter Aadhaar Number</t>
  </si>
  <si>
    <t>Adhaar NumberXXXXXXXX6361 Entered.</t>
  </si>
  <si>
    <t>Pass_12/08/2025 3:20:35 pm</t>
  </si>
  <si>
    <t>TCCC004</t>
  </si>
  <si>
    <t>Click on Proceed button</t>
  </si>
  <si>
    <t>user should able to click on Proceed</t>
  </si>
  <si>
    <t>ClickSubmit</t>
  </si>
  <si>
    <t>Proceed button enable and clicked</t>
  </si>
  <si>
    <t>TCCC005</t>
  </si>
  <si>
    <t>Should allow to do to FingerPrint Authenticaton after click on fingprint image</t>
  </si>
  <si>
    <t>after give fingerprint proceed button should enabled</t>
  </si>
  <si>
    <t>FingerPrint</t>
  </si>
  <si>
    <t>Customer FingerPrint Authentication Done</t>
  </si>
  <si>
    <t>Pass_12/08/2025 3:20:44 pm</t>
  </si>
  <si>
    <t>TCCC006</t>
  </si>
  <si>
    <t>Click on FingerPrint authentication page  Proceed button</t>
  </si>
  <si>
    <t>user should able to click on Proceed, and they will get a pop up with OK button ,if that adhaar has already apply for eKYC or redirected to Account Opening Details Page</t>
  </si>
  <si>
    <t>FingerPrintProceed</t>
  </si>
  <si>
    <t>finge print proceed</t>
  </si>
  <si>
    <t>Pass_12/08/2025 3:20:45 pm</t>
  </si>
  <si>
    <t>TCCC007</t>
  </si>
  <si>
    <t>user should able to click on Ok and navigate to ACCOUNT Opening details Page</t>
  </si>
  <si>
    <t>okProceedPopup</t>
  </si>
  <si>
    <t xml:space="preserve">ok button present and clicked </t>
  </si>
  <si>
    <t>Pass_12/08/2025 3:20:46 pm</t>
  </si>
  <si>
    <t>TCCC008</t>
  </si>
  <si>
    <t>Select Title</t>
  </si>
  <si>
    <t>User should able to select their title</t>
  </si>
  <si>
    <t>Mr.</t>
  </si>
  <si>
    <t>SelectTitle</t>
  </si>
  <si>
    <t>Mr. is selected/Entered</t>
  </si>
  <si>
    <t>TCCC009</t>
  </si>
  <si>
    <t>Enter First Name Field should default filled by backend ,which is present in Adhaar Card</t>
  </si>
  <si>
    <t>Already filled with value which is present in Adhaar Card</t>
  </si>
  <si>
    <t>EnterFirstName</t>
  </si>
  <si>
    <t>Enter First Name</t>
  </si>
  <si>
    <t>TCCC010</t>
  </si>
  <si>
    <t>Enter Middle Name Field should default filled by backend ,which is present in Adhaar Card</t>
  </si>
  <si>
    <t>EnterMiddleName</t>
  </si>
  <si>
    <t>Enter Middle Name</t>
  </si>
  <si>
    <t>TCCC011</t>
  </si>
  <si>
    <t>Enter Last Name Field should default filled by backend ,which is present in Adhaar Card</t>
  </si>
  <si>
    <t>EnterLastName</t>
  </si>
  <si>
    <t>Enter last Name</t>
  </si>
  <si>
    <t>TCCC012</t>
  </si>
  <si>
    <t>DOB should default filled by backend ,which is present in Adhaar Card</t>
  </si>
  <si>
    <t>01-01-1987</t>
  </si>
  <si>
    <t>EnterDOB</t>
  </si>
  <si>
    <t>Enter Date of Dirth</t>
  </si>
  <si>
    <t>TCCC013</t>
  </si>
  <si>
    <t>Enter Mobile Number &amp; Click on Verify</t>
  </si>
  <si>
    <t>Mobile Number should verified with green tick</t>
  </si>
  <si>
    <t>9239474613</t>
  </si>
  <si>
    <t>EnterMobileNumber</t>
  </si>
  <si>
    <t>Enter Mobile</t>
  </si>
  <si>
    <t>TCCC014</t>
  </si>
  <si>
    <t>TaxResidency default filled by backend ,which is present in Adhaar Card</t>
  </si>
  <si>
    <t>India</t>
  </si>
  <si>
    <t>SelectTaxResidencyStatus</t>
  </si>
  <si>
    <t>India is selected/Entered</t>
  </si>
  <si>
    <t>TCCC015</t>
  </si>
  <si>
    <t>User should get two option(PAN and Form60) and have two choose one</t>
  </si>
  <si>
    <t>SelectFORM</t>
  </si>
  <si>
    <t>Enter Pan Number</t>
  </si>
  <si>
    <t>Form 60 is selected/Entered</t>
  </si>
  <si>
    <t>TCCC016</t>
  </si>
  <si>
    <t>If user wanted to modify their title so they can modify in Cusotomer Details Page</t>
  </si>
  <si>
    <t>TCCC017</t>
  </si>
  <si>
    <t>Address1 should get Entered</t>
  </si>
  <si>
    <t>EnterAddress1</t>
  </si>
  <si>
    <t>Enter Address Line 1</t>
  </si>
  <si>
    <t>TCCC018</t>
  </si>
  <si>
    <t>Address2 should get Entered</t>
  </si>
  <si>
    <t>EnterAddress2</t>
  </si>
  <si>
    <t>TCCC019</t>
  </si>
  <si>
    <t>Thane</t>
  </si>
  <si>
    <t>EnterVillage</t>
  </si>
  <si>
    <t xml:space="preserve"> /n Error Caused due to some un expected Error or due to conditions of Negative testcase. Check Screenhot for clarity</t>
  </si>
  <si>
    <t>Fail_31/07/2025 12:31:16 pm</t>
  </si>
  <si>
    <t>N</t>
  </si>
  <si>
    <t>TCCC020</t>
  </si>
  <si>
    <t>District should default filled by backend, from Adhaar database</t>
  </si>
  <si>
    <t xml:space="preserve">District should should filled with value present in adhaar details </t>
  </si>
  <si>
    <t>EnterDistrictName</t>
  </si>
  <si>
    <t>Enter State</t>
  </si>
  <si>
    <t>MAHARASHTRA is selected</t>
  </si>
  <si>
    <t>Pass_31/07/2025 3:53:39 pm</t>
  </si>
  <si>
    <t>TCCC021</t>
  </si>
  <si>
    <t>State should default filled by backend, from Adhaar database</t>
  </si>
  <si>
    <t xml:space="preserve">State should should filled with value present in adhaar details </t>
  </si>
  <si>
    <t>MAHARASHTRA</t>
  </si>
  <si>
    <t>SelectState</t>
  </si>
  <si>
    <t>MAHARASHTRA is selected/Entered</t>
  </si>
  <si>
    <t>TCCC022</t>
  </si>
  <si>
    <t>City should select from drop down</t>
  </si>
  <si>
    <t>EnterCity</t>
  </si>
  <si>
    <t>TCCC025</t>
  </si>
  <si>
    <t>SubDitrict should select from drop down</t>
  </si>
  <si>
    <t>EnterSubDistrict</t>
  </si>
  <si>
    <t>TCCC026</t>
  </si>
  <si>
    <t>Village/Town/Taluka  should select from drop down</t>
  </si>
  <si>
    <t>EnterVillage/Taluka/Town</t>
  </si>
  <si>
    <t>TCCC023</t>
  </si>
  <si>
    <t>Enter Pincode</t>
  </si>
  <si>
    <t xml:space="preserve">Pincode should be valid </t>
  </si>
  <si>
    <t>425203</t>
  </si>
  <si>
    <t>EnterPinCode</t>
  </si>
  <si>
    <t>425203 is selected/Entered</t>
  </si>
  <si>
    <t>TCCC024</t>
  </si>
  <si>
    <t>User should able to enter Place of Birth</t>
  </si>
  <si>
    <t>Bhusawal</t>
  </si>
  <si>
    <t>EnterPlaceofBirth</t>
  </si>
  <si>
    <t>Enter Place of Birth</t>
  </si>
  <si>
    <t>Bhusawal is selected/Entered</t>
  </si>
  <si>
    <t>TCCC027</t>
  </si>
  <si>
    <t>Enter Religion</t>
  </si>
  <si>
    <t>Religion should select from drop down</t>
  </si>
  <si>
    <t>Hindu</t>
  </si>
  <si>
    <t>EnterReligion</t>
  </si>
  <si>
    <t>Hindu is selected/Entered</t>
  </si>
  <si>
    <t>TCCC028</t>
  </si>
  <si>
    <t>Caste should select from drop down</t>
  </si>
  <si>
    <t>General</t>
  </si>
  <si>
    <t>EnterCaste</t>
  </si>
  <si>
    <t>General is selected/Entered</t>
  </si>
  <si>
    <t>TCCC029</t>
  </si>
  <si>
    <t>Martial Status should select from drop down</t>
  </si>
  <si>
    <t>Married</t>
  </si>
  <si>
    <t>EnterMartialStatus</t>
  </si>
  <si>
    <t>Married is selected/Entered</t>
  </si>
  <si>
    <t>TCCC030</t>
  </si>
  <si>
    <t>Education Qualification should select from drop down</t>
  </si>
  <si>
    <t>Graduate(Gen.)</t>
  </si>
  <si>
    <t>EnterEducationQualification</t>
  </si>
  <si>
    <t>Graduate(Gen.) is selected/Entered</t>
  </si>
  <si>
    <t>TCCC031</t>
  </si>
  <si>
    <t>Father/Mother/Guardian should select from drop down</t>
  </si>
  <si>
    <t>Mother</t>
  </si>
  <si>
    <t>EnterFather/Mother/Guardian</t>
  </si>
  <si>
    <t>Mother is selected/Entered</t>
  </si>
  <si>
    <t>TCCC032</t>
  </si>
  <si>
    <t>User should able to enter  First Name</t>
  </si>
  <si>
    <t>Shreya</t>
  </si>
  <si>
    <t>EnterFather/Mother/Guardian_FN</t>
  </si>
  <si>
    <t>Shreya is selected/Entered</t>
  </si>
  <si>
    <t>TCCC033</t>
  </si>
  <si>
    <t>User should able to enter Middle Name</t>
  </si>
  <si>
    <t>ms</t>
  </si>
  <si>
    <t>EnterFather/Mother/Guardian_MN</t>
  </si>
  <si>
    <t>ms is selected/Entered</t>
  </si>
  <si>
    <t>TCCC034</t>
  </si>
  <si>
    <t>Enter Last Name</t>
  </si>
  <si>
    <t>User should able to enter  Last Name</t>
  </si>
  <si>
    <t>Kumari</t>
  </si>
  <si>
    <t>EnterFather/Mother/Guardian_LN</t>
  </si>
  <si>
    <t>Kumari is selected/Entered</t>
  </si>
  <si>
    <t>TCCC035</t>
  </si>
  <si>
    <t>User should able to enter Mother's First Name</t>
  </si>
  <si>
    <t>EnterMother_FN</t>
  </si>
  <si>
    <t>Enter Mother First Name</t>
  </si>
  <si>
    <t>TCCC036</t>
  </si>
  <si>
    <t>User should able to enter Mother's Middle Name</t>
  </si>
  <si>
    <t>EnterMother_MN</t>
  </si>
  <si>
    <t>TCCC037</t>
  </si>
  <si>
    <t>User should able to enter Mother's Last Name</t>
  </si>
  <si>
    <t>EnterMother_LN</t>
  </si>
  <si>
    <t>Enter Mother Last Name</t>
  </si>
  <si>
    <t>TCCC038</t>
  </si>
  <si>
    <t>Select  No of Dependents from drop down</t>
  </si>
  <si>
    <t>No of Dependents  should select from drop down</t>
  </si>
  <si>
    <t>NoOfDependents</t>
  </si>
  <si>
    <t>4 is selected/Entered</t>
  </si>
  <si>
    <t>TCCC039</t>
  </si>
  <si>
    <t>Select  Occupation Type from drop down</t>
  </si>
  <si>
    <t>OccupationType should select from drop down</t>
  </si>
  <si>
    <t>State Govt Service</t>
  </si>
  <si>
    <t>OccupationType</t>
  </si>
  <si>
    <t>11</t>
  </si>
  <si>
    <t>State Govt Services is selected/Entered</t>
  </si>
  <si>
    <t>TCCC040</t>
  </si>
  <si>
    <t>Select  Occupation SubType from drop down</t>
  </si>
  <si>
    <t>Public Sector</t>
  </si>
  <si>
    <t>OccupationSubType</t>
  </si>
  <si>
    <t>12</t>
  </si>
  <si>
    <t>TCCC041</t>
  </si>
  <si>
    <t>Select  Any ExistingSBI User from drop down</t>
  </si>
  <si>
    <t>AnyExistingSBIUser should select from drop down</t>
  </si>
  <si>
    <t>No</t>
  </si>
  <si>
    <t>AnyExistingSBIUser</t>
  </si>
  <si>
    <t>13</t>
  </si>
  <si>
    <t>No is selected/Entered</t>
  </si>
  <si>
    <t>TCCC042</t>
  </si>
  <si>
    <t>KOLinkedBranchCodeshould default filled by backend</t>
  </si>
  <si>
    <t xml:space="preserve">KOLinkedBranchCode should should filled with value present in adhaar details </t>
  </si>
  <si>
    <t>KOLinkedBranchCode</t>
  </si>
  <si>
    <t>KO Linked Branch Code</t>
  </si>
  <si>
    <t>00437 is selected/Entered</t>
  </si>
  <si>
    <t>TCCC043</t>
  </si>
  <si>
    <t>Select  SourceOfFund Type from drop down</t>
  </si>
  <si>
    <t>SourceOfFund should select from drop down</t>
  </si>
  <si>
    <t>Salary</t>
  </si>
  <si>
    <t>SourceOfFund</t>
  </si>
  <si>
    <t>14</t>
  </si>
  <si>
    <t>Salary is selected/Entered</t>
  </si>
  <si>
    <t>TCCC044</t>
  </si>
  <si>
    <t>From type will Automatically filled by backend , when customer already chose from account opening details page</t>
  </si>
  <si>
    <t>FormType</t>
  </si>
  <si>
    <t>Enter Form</t>
  </si>
  <si>
    <t>TCCC045</t>
  </si>
  <si>
    <t>Date of submission by default filled with current date</t>
  </si>
  <si>
    <t>Date of submission should shows as current date</t>
  </si>
  <si>
    <t>DateOfSubmission</t>
  </si>
  <si>
    <t>Enter Date of Submission</t>
  </si>
  <si>
    <t>TCCC046</t>
  </si>
  <si>
    <t>TransactionDate by default filled with current date</t>
  </si>
  <si>
    <t>TransactionDate should shows as current date</t>
  </si>
  <si>
    <t>TransactionDate</t>
  </si>
  <si>
    <t>Enter Transaction Date</t>
  </si>
  <si>
    <t>TCCC047</t>
  </si>
  <si>
    <t>AdhaarVRN should default filled by backend, from Adhaar database</t>
  </si>
  <si>
    <t xml:space="preserve">AdhaarVRN should should filled with value present in adhaar details </t>
  </si>
  <si>
    <t>AdhaarVRN</t>
  </si>
  <si>
    <t>Enter Aadhaar VRN</t>
  </si>
  <si>
    <t>TCCC048</t>
  </si>
  <si>
    <t>Enter AgricultureIncomePerAnnum</t>
  </si>
  <si>
    <t>10000</t>
  </si>
  <si>
    <t>AgricultureIncomePerAnnum</t>
  </si>
  <si>
    <t>Enter Agriculture Income</t>
  </si>
  <si>
    <t>10000 is selected/Entered</t>
  </si>
  <si>
    <t>TCCC049</t>
  </si>
  <si>
    <t>1000</t>
  </si>
  <si>
    <t>OtherIncome</t>
  </si>
  <si>
    <t>Enter Other Than Agriculture Per Annum</t>
  </si>
  <si>
    <t>1000 is selected/Entered</t>
  </si>
  <si>
    <t>TCCC050</t>
  </si>
  <si>
    <t>Anuual income will be summation of AgricultureIncomePerAnnum &amp; OtherIncome</t>
  </si>
  <si>
    <t xml:space="preserve">Anualincome should reflected </t>
  </si>
  <si>
    <t>Anualincome</t>
  </si>
  <si>
    <t>Enter Annual Income</t>
  </si>
  <si>
    <t>11000 is selected/Entered</t>
  </si>
  <si>
    <t>TCCC051</t>
  </si>
  <si>
    <t>Verify that the system allows entry of PAN details when the customer has applied for PAN.</t>
  </si>
  <si>
    <t>System should accept the applied PAN details or acknowledgment number successfully.</t>
  </si>
  <si>
    <t>PAN_Applied</t>
  </si>
  <si>
    <t>TCCC052</t>
  </si>
  <si>
    <t>Verify that the system allows the customer to select whether an ATM card is required.</t>
  </si>
  <si>
    <t>Occupation Code should get selected &amp; below Popup message should get displayed
"Identification Number should be entered"</t>
  </si>
  <si>
    <t>ATMCardRequired</t>
  </si>
  <si>
    <t>TCCC053</t>
  </si>
  <si>
    <t>Verify that the system allows entering the customer’s name to be printed on the ATM card.</t>
  </si>
  <si>
    <t>System should display the entered name correctly on the preview and save it.</t>
  </si>
  <si>
    <t>NameOnATM</t>
  </si>
  <si>
    <t>Name to be Printed on ATM Card</t>
  </si>
  <si>
    <t>TCCC054</t>
  </si>
  <si>
    <t>Verify that the Form 60 page navigation buttons work correctly (Next, Back, Submit).</t>
  </si>
  <si>
    <t>Buttons should function as expected and navigate to correct sections without errors.</t>
  </si>
  <si>
    <t>Form60PageButtons</t>
  </si>
  <si>
    <t>CKYC Details</t>
  </si>
  <si>
    <t>CKYC Details is selected/Entered</t>
  </si>
  <si>
    <t>TCCC055</t>
  </si>
  <si>
    <t>Verify that the system allows selecting a title (Mr/Mrs/Ms/Dr, etc.) on the CKYC Details page.</t>
  </si>
  <si>
    <t>Selected title should be stored and reflected in customer details.</t>
  </si>
  <si>
    <t>15</t>
  </si>
  <si>
    <t>TCCC056</t>
  </si>
  <si>
    <t>Verify that the system allows entering the first name of Father/Mother/Guardian.</t>
  </si>
  <si>
    <t>System should accept and store the entered first name.</t>
  </si>
  <si>
    <t>Asit</t>
  </si>
  <si>
    <t>Asit is selected/Entered</t>
  </si>
  <si>
    <t>TCCC057</t>
  </si>
  <si>
    <t>Verify that the system allows entering the middle name of Father/Mother/Guardian.</t>
  </si>
  <si>
    <t>System should accept and store the entered middle name.</t>
  </si>
  <si>
    <t>Kr</t>
  </si>
  <si>
    <t>Kr is selected/Entered</t>
  </si>
  <si>
    <t>TCCC058</t>
  </si>
  <si>
    <t>Verify that the system allows entering the last name of Father/Mother/Guardian.</t>
  </si>
  <si>
    <t>System should accept and store the entered last name.</t>
  </si>
  <si>
    <t>Harh</t>
  </si>
  <si>
    <t>Harh is selected/Entered</t>
  </si>
  <si>
    <t>TCCC059</t>
  </si>
  <si>
    <t>Shri</t>
  </si>
  <si>
    <t>16</t>
  </si>
  <si>
    <t>Padmashri is selected/Entered</t>
  </si>
  <si>
    <t>TCCC060</t>
  </si>
  <si>
    <t>Verify that the system allows entering the first name of Guardian in Guardian section.</t>
  </si>
  <si>
    <t>System should save and display the entered Guardian’s first name.</t>
  </si>
  <si>
    <t>TCCC061</t>
  </si>
  <si>
    <t>Verify that the system allows entering the middle name of Guardian in Guardian section.</t>
  </si>
  <si>
    <t>System should save and display the entered Guardian’s middle name.</t>
  </si>
  <si>
    <t>Enter Mother Middle Name</t>
  </si>
  <si>
    <t>TCCC062</t>
  </si>
  <si>
    <t>Verify that the system allows entering the last name of Guardian in Guardian section.</t>
  </si>
  <si>
    <t>System should save and display the entered Guardian’s last name.</t>
  </si>
  <si>
    <t>TCCC063</t>
  </si>
  <si>
    <t>SelectSpouseTitle</t>
  </si>
  <si>
    <t>17</t>
  </si>
  <si>
    <t>TCCC064</t>
  </si>
  <si>
    <t>Verify that the system allows entering Spouse’s First Name.</t>
  </si>
  <si>
    <t>Entered Spouse’s First Name should be saved successfully.</t>
  </si>
  <si>
    <t>Paramita</t>
  </si>
  <si>
    <t>EnterSpouse_FN</t>
  </si>
  <si>
    <t>Paramita is selected/Entered</t>
  </si>
  <si>
    <t>TCCC065</t>
  </si>
  <si>
    <t>Verify that the system allows entering Spouse’s Middle Name.</t>
  </si>
  <si>
    <t>Entered Spouse’s Middle Name should be saved successfully.</t>
  </si>
  <si>
    <t>EnterSpouse_MN</t>
  </si>
  <si>
    <t xml:space="preserve"> is selected/Entered</t>
  </si>
  <si>
    <t>TCCC066</t>
  </si>
  <si>
    <t>Verify that the system allows entering Spouse’s Last Name.</t>
  </si>
  <si>
    <t>Entered Spouse’s Last Name should be saved successfully.</t>
  </si>
  <si>
    <t>Khan</t>
  </si>
  <si>
    <t>EnterSpouse_LN</t>
  </si>
  <si>
    <t>Khan is selected/Entered</t>
  </si>
  <si>
    <t>TCCC067</t>
  </si>
  <si>
    <t>Verify that the system allows selecting Occupation Type (Salaried, Self-employed, Student, etc.).</t>
  </si>
  <si>
    <t>Selected occupation type should be stored and reflected in customer profile.</t>
  </si>
  <si>
    <t>Business</t>
  </si>
  <si>
    <t>SelectOccupation</t>
  </si>
  <si>
    <t>Business is selected/Entered</t>
  </si>
  <si>
    <t>TCCC068</t>
  </si>
  <si>
    <t>MAA SARADA Veg Shop</t>
  </si>
  <si>
    <t>OrganizationName</t>
  </si>
  <si>
    <t>Enter Organization Name</t>
  </si>
  <si>
    <t>MAA SARADA Veg Shop is selected/Entered</t>
  </si>
  <si>
    <t>TCCC069</t>
  </si>
  <si>
    <t>Merchant</t>
  </si>
  <si>
    <t>Designation_Profession</t>
  </si>
  <si>
    <t>Enter Designation/Profession</t>
  </si>
  <si>
    <t>Merchant is selected/Entered</t>
  </si>
  <si>
    <t>TCCC070</t>
  </si>
  <si>
    <r>
      <t xml:space="preserve">Verify that </t>
    </r>
    <r>
      <rPr>
        <i/>
        <sz val="11"/>
        <rFont val="Calibri"/>
        <family val="2"/>
        <scheme val="minor"/>
      </rPr>
      <t>Address Type</t>
    </r>
    <r>
      <rPr>
        <sz val="11"/>
        <rFont val="Calibri"/>
        <family val="2"/>
        <scheme val="minor"/>
      </rPr>
      <t xml:space="preserve"> is auto-populated from backend (e.g., UID/Aadhaar).</t>
    </r>
  </si>
  <si>
    <t>Field should be pre-filled correctly and non-editable by user.</t>
  </si>
  <si>
    <t>AddreseeType</t>
  </si>
  <si>
    <t>Enter Address Type</t>
  </si>
  <si>
    <t>UID(AADHAAR) is selected/Entered</t>
  </si>
  <si>
    <t>TCCC071</t>
  </si>
  <si>
    <r>
      <t xml:space="preserve">Verify that </t>
    </r>
    <r>
      <rPr>
        <i/>
        <sz val="11"/>
        <rFont val="Calibri"/>
        <family val="2"/>
        <scheme val="minor"/>
      </rPr>
      <t>Address Proof Number</t>
    </r>
    <r>
      <rPr>
        <sz val="11"/>
        <rFont val="Calibri"/>
        <family val="2"/>
        <scheme val="minor"/>
      </rPr>
      <t xml:space="preserve"> field accepts valid ID numbers corresponding to the selected Address Type.</t>
    </r>
  </si>
  <si>
    <t>Field should accept correct format; invalid entry should display error message.</t>
  </si>
  <si>
    <t>OVD_KYCDOCType</t>
  </si>
  <si>
    <t>EKYC is selected/Entered</t>
  </si>
  <si>
    <t>TCCC072</t>
  </si>
  <si>
    <r>
      <t xml:space="preserve">Verify that </t>
    </r>
    <r>
      <rPr>
        <i/>
        <sz val="11"/>
        <rFont val="Calibri"/>
        <family val="2"/>
        <scheme val="minor"/>
      </rPr>
      <t>Address Proof Number</t>
    </r>
    <r>
      <rPr>
        <sz val="11"/>
        <rFont val="Calibri"/>
        <family val="2"/>
        <scheme val="minor"/>
      </rPr>
      <t xml:space="preserve"> is pre-filled from backend and partially masked (e.g., XXXXXXXX6361).</t>
    </r>
  </si>
  <si>
    <t>Correct ID is displayed with masking; value should not be editable</t>
  </si>
  <si>
    <t>AddressProofNo</t>
  </si>
  <si>
    <t>Enter Address Proof Number</t>
  </si>
  <si>
    <t>TCCC073</t>
  </si>
  <si>
    <r>
      <t xml:space="preserve">Verify that </t>
    </r>
    <r>
      <rPr>
        <i/>
        <sz val="11"/>
        <rFont val="Calibri"/>
        <family val="2"/>
        <scheme val="minor"/>
      </rPr>
      <t>Address Line 1</t>
    </r>
    <r>
      <rPr>
        <sz val="11"/>
        <rFont val="Calibri"/>
        <family val="2"/>
        <scheme val="minor"/>
      </rPr>
      <t xml:space="preserve"> is correctly populated from backend KYC data.</t>
    </r>
  </si>
  <si>
    <t>Field should display exact address as per backend; user cannot modify.</t>
  </si>
  <si>
    <t>Address1</t>
  </si>
  <si>
    <t>Enter Address 1</t>
  </si>
  <si>
    <t>TCCC074</t>
  </si>
  <si>
    <r>
      <t xml:space="preserve">Verify that </t>
    </r>
    <r>
      <rPr>
        <i/>
        <sz val="11"/>
        <rFont val="Calibri"/>
        <family val="2"/>
        <scheme val="minor"/>
      </rPr>
      <t>Address Line 2</t>
    </r>
    <r>
      <rPr>
        <sz val="11"/>
        <rFont val="Calibri"/>
        <family val="2"/>
        <scheme val="minor"/>
      </rPr>
      <t xml:space="preserve"> is correctly populated when available.</t>
    </r>
  </si>
  <si>
    <t>If address line 2 exists in backend, it should be displayed; otherwise, field remains blank.</t>
  </si>
  <si>
    <t>Address2</t>
  </si>
  <si>
    <t>Enter Address 2</t>
  </si>
  <si>
    <t>TCCC075</t>
  </si>
  <si>
    <r>
      <t xml:space="preserve">Verify that </t>
    </r>
    <r>
      <rPr>
        <i/>
        <sz val="11"/>
        <rFont val="Calibri"/>
        <family val="2"/>
        <scheme val="minor"/>
      </rPr>
      <t>Address Line 3</t>
    </r>
    <r>
      <rPr>
        <sz val="11"/>
        <rFont val="Calibri"/>
        <family val="2"/>
        <scheme val="minor"/>
      </rPr>
      <t xml:space="preserve"> is correctly populated from backend data.</t>
    </r>
  </si>
  <si>
    <t>Field shows correct backend data or remains blank if not available.</t>
  </si>
  <si>
    <t>Address3</t>
  </si>
  <si>
    <t>Enter Address 3</t>
  </si>
  <si>
    <t>TCCC076</t>
  </si>
  <si>
    <r>
      <t xml:space="preserve">Verify that </t>
    </r>
    <r>
      <rPr>
        <i/>
        <sz val="11"/>
        <rFont val="Calibri"/>
        <family val="2"/>
        <scheme val="minor"/>
      </rPr>
      <t>State</t>
    </r>
    <r>
      <rPr>
        <sz val="11"/>
        <rFont val="Calibri"/>
        <family val="2"/>
        <scheme val="minor"/>
      </rPr>
      <t xml:space="preserve"> field is pre-filled from backend.</t>
    </r>
  </si>
  <si>
    <t>State name should be correct and non-editable.</t>
  </si>
  <si>
    <t>State_eKYC</t>
  </si>
  <si>
    <t>TCCC077</t>
  </si>
  <si>
    <r>
      <t xml:space="preserve">Verify that </t>
    </r>
    <r>
      <rPr>
        <i/>
        <sz val="11"/>
        <rFont val="Calibri"/>
        <family val="2"/>
        <scheme val="minor"/>
      </rPr>
      <t>District</t>
    </r>
    <r>
      <rPr>
        <sz val="11"/>
        <rFont val="Calibri"/>
        <family val="2"/>
        <scheme val="minor"/>
      </rPr>
      <t xml:space="preserve"> field is pre-filled from backend.</t>
    </r>
  </si>
  <si>
    <t>District should match backend record and not be editable.</t>
  </si>
  <si>
    <t>District</t>
  </si>
  <si>
    <t>Enter District</t>
  </si>
  <si>
    <t>TCCC078</t>
  </si>
  <si>
    <r>
      <t xml:space="preserve">Verify that </t>
    </r>
    <r>
      <rPr>
        <i/>
        <sz val="11"/>
        <rFont val="Calibri"/>
        <family val="2"/>
        <scheme val="minor"/>
      </rPr>
      <t>Country</t>
    </r>
    <r>
      <rPr>
        <sz val="11"/>
        <rFont val="Calibri"/>
        <family val="2"/>
        <scheme val="minor"/>
      </rPr>
      <t xml:space="preserve"> field is auto-populated from backend (default India).</t>
    </r>
  </si>
  <si>
    <t>Correct country is displayed and cannot be modified.</t>
  </si>
  <si>
    <t>Country_eKYC</t>
  </si>
  <si>
    <t>Enter Country</t>
  </si>
  <si>
    <t>TCCC079</t>
  </si>
  <si>
    <r>
      <t xml:space="preserve">Verify that </t>
    </r>
    <r>
      <rPr>
        <i/>
        <sz val="11"/>
        <rFont val="Calibri"/>
        <family val="2"/>
        <scheme val="minor"/>
      </rPr>
      <t>Pincode</t>
    </r>
    <r>
      <rPr>
        <sz val="11"/>
        <rFont val="Calibri"/>
        <family val="2"/>
        <scheme val="minor"/>
      </rPr>
      <t xml:space="preserve"> is auto-filled from backend.</t>
    </r>
  </si>
  <si>
    <t>Correct 6-digit pincode is displayed; non-editable by user.</t>
  </si>
  <si>
    <t>Pincode_eKYC</t>
  </si>
  <si>
    <t>TCCC080</t>
  </si>
  <si>
    <r>
      <t xml:space="preserve">Verify that </t>
    </r>
    <r>
      <rPr>
        <i/>
        <sz val="11"/>
        <rFont val="Calibri"/>
        <family val="2"/>
        <scheme val="minor"/>
      </rPr>
      <t>Citizenship</t>
    </r>
    <r>
      <rPr>
        <sz val="11"/>
        <rFont val="Calibri"/>
        <family val="2"/>
        <scheme val="minor"/>
      </rPr>
      <t xml:space="preserve"> is populated from backend.</t>
    </r>
  </si>
  <si>
    <t>Field should display correct citizenship (e.g., India) and remain non-editable.</t>
  </si>
  <si>
    <t>Citizenship</t>
  </si>
  <si>
    <t>TCCC081</t>
  </si>
  <si>
    <r>
      <t xml:space="preserve">erify that </t>
    </r>
    <r>
      <rPr>
        <i/>
        <sz val="11"/>
        <rFont val="Calibri"/>
        <family val="2"/>
        <scheme val="minor"/>
      </rPr>
      <t>Religion</t>
    </r>
    <r>
      <rPr>
        <sz val="11"/>
        <rFont val="Calibri"/>
        <family val="2"/>
        <scheme val="minor"/>
      </rPr>
      <t xml:space="preserve"> field is pre-filled from backend KYC data.</t>
    </r>
  </si>
  <si>
    <t>Correct religion is displayed (e.g., Hindu) and should be non-editable.</t>
  </si>
  <si>
    <t>Religion</t>
  </si>
  <si>
    <t>TCCC082</t>
  </si>
  <si>
    <r>
      <t xml:space="preserve">Verify that </t>
    </r>
    <r>
      <rPr>
        <i/>
        <sz val="11"/>
        <rFont val="Calibri"/>
        <family val="2"/>
        <scheme val="minor"/>
      </rPr>
      <t>Category</t>
    </r>
    <r>
      <rPr>
        <sz val="11"/>
        <rFont val="Calibri"/>
        <family val="2"/>
        <scheme val="minor"/>
      </rPr>
      <t xml:space="preserve"> field is pre-filled from backend (e.g., General/SC/ST/OBC).</t>
    </r>
  </si>
  <si>
    <t>Correct category should be displayed, non-editable.</t>
  </si>
  <si>
    <t>Category</t>
  </si>
  <si>
    <t>Enter Category</t>
  </si>
  <si>
    <t>TCCC083</t>
  </si>
  <si>
    <r>
      <t xml:space="preserve">Verify that </t>
    </r>
    <r>
      <rPr>
        <i/>
        <sz val="11"/>
        <rFont val="Calibri"/>
        <family val="2"/>
        <scheme val="minor"/>
      </rPr>
      <t>Effective Date</t>
    </r>
    <r>
      <rPr>
        <sz val="11"/>
        <rFont val="Calibri"/>
        <family val="2"/>
        <scheme val="minor"/>
      </rPr>
      <t xml:space="preserve"> is auto-generated by backend.</t>
    </r>
  </si>
  <si>
    <t>Field should show the correct date (e.g., account/eKYC activation date) and remain non-editable</t>
  </si>
  <si>
    <t>EffectiveDate</t>
  </si>
  <si>
    <t>Enter Effective Date</t>
  </si>
  <si>
    <t>TCCC084</t>
  </si>
  <si>
    <r>
      <t xml:space="preserve">Verify that </t>
    </r>
    <r>
      <rPr>
        <i/>
        <sz val="11"/>
        <rFont val="Calibri"/>
        <family val="2"/>
        <scheme val="minor"/>
      </rPr>
      <t>Expiry Date</t>
    </r>
    <r>
      <rPr>
        <sz val="11"/>
        <rFont val="Calibri"/>
        <family val="2"/>
        <scheme val="minor"/>
      </rPr>
      <t xml:space="preserve"> is auto-generated from backend based on business rules (e.g., +10 years).</t>
    </r>
  </si>
  <si>
    <t>Correct expiry date is displayed and should not be editable by user.</t>
  </si>
  <si>
    <t>ExpieryDate</t>
  </si>
  <si>
    <t>Enter Expiry Date</t>
  </si>
  <si>
    <t>TCCC085</t>
  </si>
  <si>
    <r>
      <t xml:space="preserve">Verify that </t>
    </r>
    <r>
      <rPr>
        <i/>
        <sz val="11"/>
        <rFont val="Calibri"/>
        <family val="2"/>
        <scheme val="minor"/>
      </rPr>
      <t>Form60 page buttons</t>
    </r>
    <r>
      <rPr>
        <sz val="11"/>
        <rFont val="Calibri"/>
        <family val="2"/>
        <scheme val="minor"/>
      </rPr>
      <t xml:space="preserve"> are displayed as per backend form design.</t>
    </r>
  </si>
  <si>
    <t>Buttons should be visible, enabled, and functionally mapped to backend actions.</t>
  </si>
  <si>
    <t>NOMINEE DETAILS</t>
  </si>
  <si>
    <t>NOMINEE DETAILS is selected/Entered</t>
  </si>
  <si>
    <t>TCCC086</t>
  </si>
  <si>
    <r>
      <t xml:space="preserve">Verify that </t>
    </r>
    <r>
      <rPr>
        <i/>
        <sz val="11"/>
        <rFont val="Calibri"/>
        <family val="2"/>
        <scheme val="minor"/>
      </rPr>
      <t>Nomination option</t>
    </r>
    <r>
      <rPr>
        <sz val="11"/>
        <rFont val="Calibri"/>
        <family val="2"/>
        <scheme val="minor"/>
      </rPr>
      <t xml:space="preserve"> (Yes/No) is backend-driven and correctly captures user selection.</t>
    </r>
  </si>
  <si>
    <t>Backend stores correct flag (Y/N) for nomination requirement.</t>
  </si>
  <si>
    <t>WantToNominateAPerson</t>
  </si>
  <si>
    <t>TCCC087</t>
  </si>
  <si>
    <r>
      <t xml:space="preserve">Verify that </t>
    </r>
    <r>
      <rPr>
        <i/>
        <sz val="11"/>
        <rFont val="Calibri"/>
        <family val="2"/>
        <scheme val="minor"/>
      </rPr>
      <t>Nominee Name</t>
    </r>
    <r>
      <rPr>
        <sz val="11"/>
        <rFont val="Calibri"/>
        <family val="2"/>
        <scheme val="minor"/>
      </rPr>
      <t xml:space="preserve"> field is correctly saved to backend</t>
    </r>
  </si>
  <si>
    <t>Entered nominee name should be stored accurately in backend records.</t>
  </si>
  <si>
    <t>Arpan kr Harh</t>
  </si>
  <si>
    <t>NomineeName</t>
  </si>
  <si>
    <t>Enter Nominee Name</t>
  </si>
  <si>
    <t>Arpan kr Harh is selected/Entered</t>
  </si>
  <si>
    <t>TCCC088</t>
  </si>
  <si>
    <r>
      <t xml:space="preserve">Verify that </t>
    </r>
    <r>
      <rPr>
        <i/>
        <sz val="11"/>
        <rFont val="Calibri"/>
        <family val="2"/>
        <scheme val="minor"/>
      </rPr>
      <t>Nominee Address Line 1</t>
    </r>
    <r>
      <rPr>
        <sz val="11"/>
        <rFont val="Calibri"/>
        <family val="2"/>
        <scheme val="minor"/>
      </rPr>
      <t xml:space="preserve"> is correctly mapped and saved to backend.</t>
    </r>
  </si>
  <si>
    <t>Address line 1 should be stored without truncation or format errors.</t>
  </si>
  <si>
    <t>Kolkata</t>
  </si>
  <si>
    <t>NomineeAdress1</t>
  </si>
  <si>
    <t>Enter Nominee Address</t>
  </si>
  <si>
    <t>Kolkata is selected/Entered</t>
  </si>
  <si>
    <t>TCCC089</t>
  </si>
  <si>
    <r>
      <t xml:space="preserve">Verify that </t>
    </r>
    <r>
      <rPr>
        <i/>
        <sz val="11"/>
        <rFont val="Calibri"/>
        <family val="2"/>
        <scheme val="minor"/>
      </rPr>
      <t>Nominee Address Line 2</t>
    </r>
    <r>
      <rPr>
        <sz val="11"/>
        <rFont val="Calibri"/>
        <family val="2"/>
        <scheme val="minor"/>
      </rPr>
      <t xml:space="preserve"> is correctly mapped and saved to backend.</t>
    </r>
  </si>
  <si>
    <t>Address line 2 should be stored as entered, including special characters.</t>
  </si>
  <si>
    <t>Newtown</t>
  </si>
  <si>
    <t>NomineeAdress2</t>
  </si>
  <si>
    <t>Enter Nominee Address 2</t>
  </si>
  <si>
    <t>Newtown is selected/Entered</t>
  </si>
  <si>
    <t>TCCC090</t>
  </si>
  <si>
    <r>
      <t xml:space="preserve">Verify that </t>
    </r>
    <r>
      <rPr>
        <i/>
        <sz val="11"/>
        <rFont val="Calibri"/>
        <family val="2"/>
        <scheme val="minor"/>
      </rPr>
      <t>Relation Type</t>
    </r>
    <r>
      <rPr>
        <sz val="11"/>
        <rFont val="Calibri"/>
        <family val="2"/>
        <scheme val="minor"/>
      </rPr>
      <t xml:space="preserve"> (e.g., Son, Daughter, Spouse) is correctly stored in backend.</t>
    </r>
  </si>
  <si>
    <t>Correct relationship value is saved and retrievable.</t>
  </si>
  <si>
    <t>Brother</t>
  </si>
  <si>
    <t>NomineRealtionType</t>
  </si>
  <si>
    <t>BROTHER is selected/Entered</t>
  </si>
  <si>
    <t>TCCC091</t>
  </si>
  <si>
    <r>
      <t xml:space="preserve">Verify that </t>
    </r>
    <r>
      <rPr>
        <i/>
        <sz val="11"/>
        <rFont val="Calibri"/>
        <family val="2"/>
        <scheme val="minor"/>
      </rPr>
      <t>Nominee DOB</t>
    </r>
    <r>
      <rPr>
        <sz val="11"/>
        <rFont val="Calibri"/>
        <family val="2"/>
        <scheme val="minor"/>
      </rPr>
      <t xml:space="preserve"> is saved in backend in correct DD-MM-YYYY format.</t>
    </r>
  </si>
  <si>
    <t>Stored DOB must exactly match entered value.</t>
  </si>
  <si>
    <t>NomineeDOB</t>
  </si>
  <si>
    <t>DD/MM/YYYY</t>
  </si>
  <si>
    <t>TCCC092</t>
  </si>
  <si>
    <r>
      <t xml:space="preserve">Verify that </t>
    </r>
    <r>
      <rPr>
        <i/>
        <sz val="11"/>
        <rFont val="Calibri"/>
        <family val="2"/>
        <scheme val="minor"/>
      </rPr>
      <t>Nominee Age</t>
    </r>
    <r>
      <rPr>
        <sz val="11"/>
        <rFont val="Calibri"/>
        <family val="2"/>
        <scheme val="minor"/>
      </rPr>
      <t xml:space="preserve"> is either entered manually or auto-calculated from DOB and stored in backend</t>
    </r>
  </si>
  <si>
    <t>Stored age matches expected calculation.</t>
  </si>
  <si>
    <t>NomineeAge</t>
  </si>
  <si>
    <t>Enter Nominee Age</t>
  </si>
  <si>
    <t>TCCC093</t>
  </si>
  <si>
    <r>
      <t xml:space="preserve">Verify that </t>
    </r>
    <r>
      <rPr>
        <i/>
        <sz val="11"/>
        <rFont val="Calibri"/>
        <family val="2"/>
        <scheme val="minor"/>
      </rPr>
      <t>Nominee Mobile Number</t>
    </r>
    <r>
      <rPr>
        <sz val="11"/>
        <rFont val="Calibri"/>
        <family val="2"/>
        <scheme val="minor"/>
      </rPr>
      <t xml:space="preserve"> is saved correctly in backend with 10 digits.</t>
    </r>
  </si>
  <si>
    <t>Only valid numbers are stored, with no leading/trailing spaces.</t>
  </si>
  <si>
    <t>8436177594</t>
  </si>
  <si>
    <t>EnterNomineeMobile</t>
  </si>
  <si>
    <t>Enter Nominee Mobile Number</t>
  </si>
  <si>
    <t>Fail_10/11/2020 4:39:43 PM</t>
  </si>
  <si>
    <t>TCCC094</t>
  </si>
  <si>
    <r>
      <t xml:space="preserve">Verify that </t>
    </r>
    <r>
      <rPr>
        <i/>
        <sz val="11"/>
        <rFont val="Calibri"/>
        <family val="2"/>
        <scheme val="minor"/>
      </rPr>
      <t>Nominee Name for Passbook Printing</t>
    </r>
    <r>
      <rPr>
        <sz val="11"/>
        <rFont val="Calibri"/>
        <family val="2"/>
        <scheme val="minor"/>
      </rPr>
      <t xml:space="preserve"> is saved correctly in backend.</t>
    </r>
  </si>
  <si>
    <t>Printed passbook reflects backend-stored nominee name.</t>
  </si>
  <si>
    <t>NomineeNameOnPassbook</t>
  </si>
  <si>
    <t>TCCC095</t>
  </si>
  <si>
    <r>
      <t xml:space="preserve">Verify that </t>
    </r>
    <r>
      <rPr>
        <i/>
        <sz val="11"/>
        <rFont val="Calibri"/>
        <family val="2"/>
        <scheme val="minor"/>
      </rPr>
      <t>Link with SHG (Self Help Group)</t>
    </r>
    <r>
      <rPr>
        <sz val="11"/>
        <rFont val="Calibri"/>
        <family val="2"/>
        <scheme val="minor"/>
      </rPr>
      <t xml:space="preserve"> selection is captured correctly in backend.</t>
    </r>
  </si>
  <si>
    <t>SHG linkage flag and SHG ID (if applicable) should be stored properly.</t>
  </si>
  <si>
    <t>LinkwithSHG</t>
  </si>
  <si>
    <t>TCCC096</t>
  </si>
  <si>
    <r>
      <t xml:space="preserve">Verify that clicking </t>
    </r>
    <r>
      <rPr>
        <i/>
        <sz val="11"/>
        <rFont val="Calibri"/>
        <family val="2"/>
        <scheme val="minor"/>
      </rPr>
      <t>Save</t>
    </r>
    <r>
      <rPr>
        <sz val="11"/>
        <rFont val="Calibri"/>
        <family val="2"/>
        <scheme val="minor"/>
      </rPr>
      <t xml:space="preserve"> triggers backend save action.</t>
    </r>
  </si>
  <si>
    <t>All entered data should be committed to backend with confirmation response.</t>
  </si>
  <si>
    <t>ClickSave</t>
  </si>
  <si>
    <t>SAVE</t>
  </si>
  <si>
    <t>SAVE button enable and clicked</t>
  </si>
  <si>
    <t>TCCC097</t>
  </si>
  <si>
    <r>
      <t xml:space="preserve">Verify that clicking </t>
    </r>
    <r>
      <rPr>
        <i/>
        <sz val="11"/>
        <rFont val="Calibri"/>
        <family val="2"/>
        <scheme val="minor"/>
      </rPr>
      <t>Continue</t>
    </r>
    <r>
      <rPr>
        <sz val="11"/>
        <rFont val="Calibri"/>
        <family val="2"/>
        <scheme val="minor"/>
      </rPr>
      <t xml:space="preserve"> correctly moves workflow to next step as per backend logic.</t>
    </r>
  </si>
  <si>
    <t>Session state is preserved and data is carried forward.</t>
  </si>
  <si>
    <t>ClickContinue</t>
  </si>
  <si>
    <t>CONTINUE</t>
  </si>
  <si>
    <t>CONTINUE button enable and clicked</t>
  </si>
  <si>
    <t>TCCC098</t>
  </si>
  <si>
    <r>
      <t xml:space="preserve">Verify that </t>
    </r>
    <r>
      <rPr>
        <i/>
        <sz val="11"/>
        <rFont val="Calibri"/>
        <family val="2"/>
        <scheme val="minor"/>
      </rPr>
      <t>Submit</t>
    </r>
    <r>
      <rPr>
        <sz val="11"/>
        <rFont val="Calibri"/>
        <family val="2"/>
        <scheme val="minor"/>
      </rPr>
      <t xml:space="preserve"> button sends all entered data to backend for processing.</t>
    </r>
  </si>
  <si>
    <t>Data is validated, stored, and backend returns success response.</t>
  </si>
  <si>
    <t>TCCC099</t>
  </si>
  <si>
    <t>Pass_01/09/2025 1:27:53 pm</t>
  </si>
  <si>
    <t>TCCC100</t>
  </si>
  <si>
    <t>Pass_21/08/2025 6:25:13 pm</t>
  </si>
  <si>
    <t>TCCC101</t>
  </si>
  <si>
    <t>user should able to click on Ok</t>
  </si>
  <si>
    <t>ClickOk</t>
  </si>
  <si>
    <t>OK</t>
  </si>
  <si>
    <t>OK button enable and clicked</t>
  </si>
  <si>
    <t>TCCC102</t>
  </si>
  <si>
    <t>user should able to click on Yes,I Do</t>
  </si>
  <si>
    <t>ClickYES,Ido</t>
  </si>
  <si>
    <t>YES, I DO</t>
  </si>
  <si>
    <t>YES, I DO button enable and clicked</t>
  </si>
  <si>
    <t>TCCC103</t>
  </si>
  <si>
    <t>TCCC104</t>
  </si>
  <si>
    <t xml:space="preserve">user should able to click on Proceed, and they will get a pop up with OK button ,if that adhaar has already apply for eKYC </t>
  </si>
  <si>
    <t xml:space="preserve">finge print proceed  </t>
  </si>
  <si>
    <t>TCCC105</t>
  </si>
  <si>
    <t>OKpopUp</t>
  </si>
  <si>
    <t>Ok pop up button enable and clicked</t>
  </si>
  <si>
    <t>Pass_01/09/2025 12:48:49 pm</t>
  </si>
  <si>
    <t>TCCC106</t>
  </si>
  <si>
    <t>CKYC District should get selected &amp; below Popup message should get displayed
"Please enter the expiry date."</t>
  </si>
  <si>
    <t>100</t>
  </si>
  <si>
    <t>InitialDeposit</t>
  </si>
  <si>
    <t>Enter Amount</t>
  </si>
  <si>
    <t>Initial Deposit Amount 100 Entered.</t>
  </si>
  <si>
    <t>TCCC107</t>
  </si>
  <si>
    <t>Organization Name should get entered &amp; below Popup message should get displayed
"CKYC District cannot be blank."</t>
  </si>
  <si>
    <t>AccountOpenStatus</t>
  </si>
  <si>
    <t>TCCC108</t>
  </si>
  <si>
    <t>Designation should get entered &amp; below Popup message should get displayed
"CKYC District cannot be blank."</t>
  </si>
  <si>
    <t xml:space="preserve">      </t>
  </si>
  <si>
    <t>GenarateForm</t>
  </si>
  <si>
    <t>Fail_01/09/2025 1:28:40 pm</t>
  </si>
  <si>
    <t>TCCC109</t>
  </si>
  <si>
    <t>Expiry Date should get selected &amp; below Popup message should get displayed
"User is able to navigate Nominee Details Tab"</t>
  </si>
  <si>
    <t>PrintForm</t>
  </si>
  <si>
    <t>Fail_01/09/2025 1:29:10 pm</t>
  </si>
  <si>
    <t>TCCC110</t>
  </si>
  <si>
    <t>Staus should get reflected &amp; below Popup message should get displayed
"Please enter Nominee Address"</t>
  </si>
  <si>
    <t>SaveFormasPDF</t>
  </si>
  <si>
    <t>Fail_10/11/2020 4:39:47 PM</t>
  </si>
  <si>
    <t>TCCC111</t>
  </si>
  <si>
    <t>Select to link Individual Account to SHG Account  &amp; Click on Submit button</t>
  </si>
  <si>
    <t>Linkage Individual Account to SHG Account  Status should get reflected &amp; below Popup message should get displayed
"Please enter Nominee Address"</t>
  </si>
  <si>
    <t>ProceedToHome</t>
  </si>
  <si>
    <t>TCCC112</t>
  </si>
  <si>
    <t>Nominee Name should get selected &amp; below Popup message should get displayed
"Please enter Nominee Address"</t>
  </si>
  <si>
    <t>Puja</t>
  </si>
  <si>
    <t>EnterNomineeName</t>
  </si>
  <si>
    <t>Fail_10/11/2020 4:39:48 PM</t>
  </si>
  <si>
    <t>TCCC113</t>
  </si>
  <si>
    <t>Nominee Address should get selected &amp; below Popup message should get displayed
"Please select Nominee Relationship"</t>
  </si>
  <si>
    <t>Express Highway, Lodha Campus</t>
  </si>
  <si>
    <t>EnterNomineeAddress</t>
  </si>
  <si>
    <t>TCCC114</t>
  </si>
  <si>
    <t>Nominee Relation Type should get selected &amp; below Popup message should get displayed
"Nominee Date of birth cannot be blank"</t>
  </si>
  <si>
    <t>MOTHER</t>
  </si>
  <si>
    <t>SelectNomineeRelationType</t>
  </si>
  <si>
    <t>TCCC115</t>
  </si>
  <si>
    <t>Nominee Name Status should get selected &amp; below Popup message should get displayed
"Nominee Date of birth cannot be blank"</t>
  </si>
  <si>
    <t>NO</t>
  </si>
  <si>
    <t>SelectNomineeNameToPrintedPassbook</t>
  </si>
  <si>
    <t>Fail_10/11/2020 4:39:49 PM</t>
  </si>
  <si>
    <t>TCCC116</t>
  </si>
  <si>
    <t>Nominee DOB should get selected &amp; User is able to navigate ATM Details Tab</t>
  </si>
  <si>
    <t>23-05-1970</t>
  </si>
  <si>
    <t>EnterNomineeDOB</t>
  </si>
  <si>
    <t>User is able to navigate ATM Details Tab</t>
  </si>
  <si>
    <t>Pass_10/11/2020 4:39:49 PM</t>
  </si>
  <si>
    <t>TCCC117</t>
  </si>
  <si>
    <t>ATM Card Required status should get selected &amp; below Popup message should get displayed
"Please enter 12 digit AADHAAR VRN"</t>
  </si>
  <si>
    <t>YES</t>
  </si>
  <si>
    <t>SelectATMCardRequired</t>
  </si>
  <si>
    <t>18</t>
  </si>
  <si>
    <t>TCCC118</t>
  </si>
  <si>
    <t>Date of FORM60 should get selected &amp; below Popup message should get displayed
"Please enter 12 digit AADHAAR VRN "</t>
  </si>
  <si>
    <t>19-07-2019</t>
  </si>
  <si>
    <t>EnterDateofFORM60</t>
  </si>
  <si>
    <t>Fail_10/11/2020 4:39:50 PM</t>
  </si>
  <si>
    <t>19</t>
  </si>
  <si>
    <t>TCCC119</t>
  </si>
  <si>
    <t>Select PAN Applied &amp; Click on Submit button</t>
  </si>
  <si>
    <t>PAN Applied status should get selected &amp; User is able to navigate Censuscode Details Tab</t>
  </si>
  <si>
    <t>SelectPANApplied</t>
  </si>
  <si>
    <t>20</t>
  </si>
  <si>
    <t>TCCC120</t>
  </si>
  <si>
    <t>Enter Date of PAN Applied &amp; Click on Submit button</t>
  </si>
  <si>
    <t>Date of PAN Applied should get entered &amp; below Popup message should get displayed
"Please select Date of PAN Applied "</t>
  </si>
  <si>
    <t>19-05-2019</t>
  </si>
  <si>
    <t>EnterDateofPANApplied</t>
  </si>
  <si>
    <t>21</t>
  </si>
  <si>
    <t>TCCC121</t>
  </si>
  <si>
    <t>Enter Agricultural Income per annum  &amp; Click on Submit button</t>
  </si>
  <si>
    <t>75000</t>
  </si>
  <si>
    <t>EnterAgriculturalIncomeperAnnum</t>
  </si>
  <si>
    <t>Fail_10/11/2020 4:39:51 PM</t>
  </si>
  <si>
    <t>22</t>
  </si>
  <si>
    <t>TCCC122</t>
  </si>
  <si>
    <t>Enter Other than agricultural Income per annum   &amp; Click on Submit button</t>
  </si>
  <si>
    <t>50000</t>
  </si>
  <si>
    <t>EnterOtherthanagriculturalIncome</t>
  </si>
  <si>
    <t>23</t>
  </si>
  <si>
    <t>TCCC123</t>
  </si>
  <si>
    <t>Enter AADHAAR Vault reference number   &amp; Click on Submit button</t>
  </si>
  <si>
    <t>AADHAAR Vault reference number should get entered &amp; below Popup message should get displayed
"Please select Date of PAN Applied "</t>
  </si>
  <si>
    <t>870726461001</t>
  </si>
  <si>
    <t>EnterAADHAARVRN</t>
  </si>
  <si>
    <t>Fail_10/11/2020 4:39:52 PM</t>
  </si>
  <si>
    <t>24</t>
  </si>
  <si>
    <t>TCCC124</t>
  </si>
  <si>
    <t>Enter acknowledgement number for PAN applied &amp; Click on Submit button</t>
  </si>
  <si>
    <t>Acknowledgement number for PAN applied should get entered &amp; below Popup message should get displayed
"Please enter Aacknowledgement Number of PAN Applied "</t>
  </si>
  <si>
    <t>123456789</t>
  </si>
  <si>
    <t>AacknowledgementNumberPANApplied</t>
  </si>
  <si>
    <t>User is able to navigate Censuscode Details Tab</t>
  </si>
  <si>
    <t>Pass_10/11/2020 4:39:52 PM</t>
  </si>
  <si>
    <t>25</t>
  </si>
  <si>
    <t>TCCC125</t>
  </si>
  <si>
    <t>Select State &amp; Click on Submit button</t>
  </si>
  <si>
    <t>State should get selected &amp; below Popup message should get displayed
"VTC code cannot be blank."</t>
  </si>
  <si>
    <t>SelectStateCensuscode</t>
  </si>
  <si>
    <t>26</t>
  </si>
  <si>
    <t>TCCC126</t>
  </si>
  <si>
    <t>Select District &amp; Click on Submit button</t>
  </si>
  <si>
    <t>District should get selected &amp; below Popup message should get displayed
"VTC code cannot be blank."</t>
  </si>
  <si>
    <t>519</t>
  </si>
  <si>
    <t>SelectDistrictCensuscode</t>
  </si>
  <si>
    <t>Fail_10/11/2020 4:39:53 PM</t>
  </si>
  <si>
    <t>27</t>
  </si>
  <si>
    <t>TCCC127</t>
  </si>
  <si>
    <t>Select Sub District &amp; Click on Submit button</t>
  </si>
  <si>
    <t>Sub District should get selected &amp; below Popup message should get displayed
"VTC code cannot be blank."</t>
  </si>
  <si>
    <t>Greater Mumbai (M Corp.) (Part)-99999</t>
  </si>
  <si>
    <t>SelectSubDistrictCensuscode</t>
  </si>
  <si>
    <t>28</t>
  </si>
  <si>
    <t>TCCC128</t>
  </si>
  <si>
    <t>Select Town/Village &amp; Click on Submit button</t>
  </si>
  <si>
    <t>Town/Village should get selected &amp; below Popup message should get displayed
"VTC code cannot be blank."</t>
  </si>
  <si>
    <t>Greater Mumbai (M Corp.) (Part)-802794</t>
  </si>
  <si>
    <t>SelectTown/VillageCensuscode</t>
  </si>
  <si>
    <t>29</t>
  </si>
  <si>
    <t>TCCC129</t>
  </si>
  <si>
    <t>Select Photo which need to upload &amp; Click on Submit button</t>
  </si>
  <si>
    <t>D:\Automation_SP\Selenium\TestData\TestDataFiles\background.jpg</t>
  </si>
  <si>
    <t>UploadPhoto</t>
  </si>
  <si>
    <t>30</t>
  </si>
  <si>
    <t>TCCC130</t>
  </si>
  <si>
    <t>Enter Sub District &amp; Click on Submit button</t>
  </si>
  <si>
    <t>EnterInitialDepositAmount</t>
  </si>
  <si>
    <t>31</t>
  </si>
  <si>
    <t>Nitin is selected/Entered</t>
  </si>
  <si>
    <t>Abhiman is selected/Entered/Entered</t>
  </si>
  <si>
    <t>Lawate is selected/Entered</t>
  </si>
  <si>
    <t>23/07/1995 is selected/Entered</t>
  </si>
  <si>
    <t>S/O: Abhiman nandeshwar is selected/Entered</t>
  </si>
  <si>
    <t>Nandeshwar is selected/Entered</t>
  </si>
  <si>
    <t>Karmala</t>
  </si>
  <si>
    <t>MANGALVEDHE</t>
  </si>
  <si>
    <t>Nandeshwar</t>
  </si>
  <si>
    <t>KARMALA is selected/Entered</t>
  </si>
  <si>
    <t>Mangalvedhe is selected/Entered</t>
  </si>
  <si>
    <t>XXXXXXXX9727 is selected/Entered</t>
  </si>
  <si>
    <t>Nitin Abhiman Lawate is selected/Entered</t>
  </si>
  <si>
    <t>Solapur is selected/Entered</t>
  </si>
  <si>
    <t>Pass : 25/09/2025 2:21:29 pm</t>
  </si>
  <si>
    <t>Pass : 25/09/2025 2:21:31 pm</t>
  </si>
  <si>
    <t>Pass : 25/09/2025 2:21:33 pm</t>
  </si>
  <si>
    <t>Pass : 25/09/2025 2:21:35 pm</t>
  </si>
  <si>
    <t>Pass : 25/09/2025 2:21:37 pm</t>
  </si>
  <si>
    <t>15/09/1993 is selected/Entered</t>
  </si>
  <si>
    <t>31 is selected/Entered</t>
  </si>
  <si>
    <t>Pass : 25/09/2025 2:21:38 pm</t>
  </si>
  <si>
    <t>Pass : 25/09/2025 2:21:39 pm</t>
  </si>
  <si>
    <t>Pass : 25/09/2025 2:21:40 pm</t>
  </si>
  <si>
    <t>Pass : 25/09/2025 2:21:43 pm</t>
  </si>
  <si>
    <t>Pass : 25/09/2025 2:21:46 pm</t>
  </si>
  <si>
    <t>Pass : 25/09/2025 2:22:01 pm</t>
  </si>
  <si>
    <t>Pass : 25/09/2025 2:22:17 pm</t>
  </si>
  <si>
    <t>Pass : 25/09/2025 2:22:35 pm</t>
  </si>
  <si>
    <t>Pass : 25/09/2025 2:22:37 pm</t>
  </si>
  <si>
    <t>Initial Deposit Successful and Account open successfully</t>
  </si>
  <si>
    <t>Pass : 25/09/2025 2:22:40 pm</t>
  </si>
  <si>
    <t>9463247775 is selected/Entered</t>
  </si>
  <si>
    <t>Pass : 28/10/2025 3:05:36 pm</t>
  </si>
  <si>
    <t>Pass : 28/10/2025 3:05:38 pm</t>
  </si>
  <si>
    <t>Pass : 28/10/2025 3:05:39 pm</t>
  </si>
  <si>
    <t>Pass : 28/10/2025 3:05:40 pm</t>
  </si>
  <si>
    <t>Pass : 28/10/2025 3:05:42 pm</t>
  </si>
  <si>
    <t>28/10/2025 is selected/Entered</t>
  </si>
  <si>
    <t>Pass : 28/10/2025 3:05:44 pm</t>
  </si>
  <si>
    <t>Pass : 28/10/2025 3:05:45 pm</t>
  </si>
  <si>
    <t>Pass : 28/10/2025 3:05:46 pm</t>
  </si>
  <si>
    <t>Pass : 28/10/2025 3:05:48 pm</t>
  </si>
  <si>
    <t>Pass : 28/10/2025 3:05:49 pm</t>
  </si>
  <si>
    <t>Pass : 28/10/2025 3:05:50 pm</t>
  </si>
  <si>
    <t>Pass : 28/10/2025 3:05:52 pm</t>
  </si>
  <si>
    <t>Pass : 28/10/2025 3:05:53 pm</t>
  </si>
  <si>
    <t>Pass : 28/10/2025 3:05:55 pm</t>
  </si>
  <si>
    <t>Pass : 28/10/2025 3:05:56 pm</t>
  </si>
  <si>
    <t>Pass : 28/10/2025 3:05:58 pm</t>
  </si>
  <si>
    <t>Pass : 28/10/2025 3:05:59 pm</t>
  </si>
  <si>
    <t>Pass : 28/10/2025 3:06:01 pm</t>
  </si>
  <si>
    <t>Pass : 28/10/2025 3:06:02 pm</t>
  </si>
  <si>
    <t>Pass : 28/10/2025 3:06:03 pm</t>
  </si>
  <si>
    <t>Pass : 28/10/2025 3:06:05 pm</t>
  </si>
  <si>
    <t>Pass : 28/10/2025 3:06:07 pm</t>
  </si>
  <si>
    <t>Pass : 28/10/2025 3:06:08 pm</t>
  </si>
  <si>
    <t>Pass : 28/10/2025 3:06:09 pm</t>
  </si>
  <si>
    <t>28/10/2035 is selected/Entered</t>
  </si>
  <si>
    <t>Pass : 28/10/2025 3:06:10 pm</t>
  </si>
  <si>
    <t>Verify Select Title</t>
  </si>
  <si>
    <t>Verify to Select Title</t>
  </si>
  <si>
    <t>Village should be select from drop down</t>
  </si>
  <si>
    <t>Verify to Select Village &amp; Click on Submit button</t>
  </si>
  <si>
    <t>Verify to Enter Subdistrict</t>
  </si>
  <si>
    <t>Verify to Enter Religion</t>
  </si>
  <si>
    <t>Verify Enter the Pincode</t>
  </si>
  <si>
    <t xml:space="preserve">Verify Enter the Place of Birth </t>
  </si>
  <si>
    <t>Verify to Enter Caste</t>
  </si>
  <si>
    <t>Verify to Enter Martial Status</t>
  </si>
  <si>
    <t>Verify Enter Education Qualification</t>
  </si>
  <si>
    <t>Verify to Enter OtherIncome</t>
  </si>
  <si>
    <t>Verify to Select FORM type</t>
  </si>
  <si>
    <t>Verify to Enter Address1 &amp; Click on Submit button</t>
  </si>
  <si>
    <t>Verify to Enter Address2 &amp; Click on Submit button</t>
  </si>
  <si>
    <t>Verify to Click on OK button</t>
  </si>
  <si>
    <t>Verify to Select City  &amp; Click on Submit button</t>
  </si>
  <si>
    <t>Verify to Enter Enter Village/Taluka/Town</t>
  </si>
  <si>
    <t xml:space="preserve">Verify Chose a guardian  </t>
  </si>
  <si>
    <t>Verify Enter guardian first name</t>
  </si>
  <si>
    <t>Verify to Enter  Middle Name (if any have)</t>
  </si>
  <si>
    <t>Verify to Enter Last Name</t>
  </si>
  <si>
    <t>Verify to Enter Mother's First Name</t>
  </si>
  <si>
    <t>Verify to Enter Mother's Middle Name</t>
  </si>
  <si>
    <t>Verify to Enter Mother's Last Name</t>
  </si>
  <si>
    <t>User able to select From Type must be filled what user chose at first</t>
  </si>
  <si>
    <t>Verify to Select Occupation &amp; Click on Submit button</t>
  </si>
  <si>
    <t>Verify Click on Proceed button</t>
  </si>
  <si>
    <t>Verify Click on ok</t>
  </si>
  <si>
    <t>Verify Click on Yes,I Do</t>
  </si>
  <si>
    <t>Verify to Click on ok</t>
  </si>
  <si>
    <t>Verify that Should allow to do to FingerPrint Authenticaton after click on fingprint image</t>
  </si>
  <si>
    <t>Verify that Click on FingerPrint authentication page  Proceed button</t>
  </si>
  <si>
    <t>Verify that Select CKYC District &amp; Click on Submit button</t>
  </si>
  <si>
    <t>Verify that Enter the Organization Name &amp; Click on Submit button</t>
  </si>
  <si>
    <t>Verify that Enter the Designation &amp; Click on Submit button</t>
  </si>
  <si>
    <t>Verify that Select Expiry Date &amp; Click on Submit button</t>
  </si>
  <si>
    <t>Verify that Select to Nominate a person or not  &amp; Click on Submit button</t>
  </si>
  <si>
    <t>Verify that Enter Nominee Name &amp; Click on Submit button</t>
  </si>
  <si>
    <t>Verify that Enter Nominee Address &amp; Click on Submit button</t>
  </si>
  <si>
    <t>Verify that Select Nominee Relation Type &amp; Click on Submit button</t>
  </si>
  <si>
    <t>Verify that Select the Nominee Name To Be Printed in Passbook &amp; Click on Submit button</t>
  </si>
  <si>
    <t>Verify that Enter Nominee DOB &amp; Click on Submit button</t>
  </si>
  <si>
    <t>Verify that Enter ATM Card Required or Not &amp; Click on Submit button</t>
  </si>
  <si>
    <t>Verify that Enter Date of FORM60 &amp; Click on Submit button</t>
  </si>
  <si>
    <t>Pass : 30/10/2025 3:12:40 pm</t>
  </si>
  <si>
    <t>Pass : 30/10/2025 3:12:41 pm</t>
  </si>
  <si>
    <t>Pass : 30/10/2025 3:12:43 pm</t>
  </si>
  <si>
    <t>Pass : 30/10/2025 3:12:44 pm</t>
  </si>
  <si>
    <t>Pass : 30/10/2025 3:12:46 pm</t>
  </si>
  <si>
    <t>Pass : 30/10/2025 3:12:47 pm</t>
  </si>
  <si>
    <t>Pass : 30/10/2025 3:12:49 pm</t>
  </si>
  <si>
    <t>EKYC Account Opening sub functionalities visible</t>
  </si>
  <si>
    <t>Pass : 27/11/2025 6:11:21 pm</t>
  </si>
  <si>
    <t>Pass : 27/11/2025 6:11:22 pm</t>
  </si>
  <si>
    <t>Pass : 27/11/2025 6:11:24 pm</t>
  </si>
  <si>
    <t>Pass : 27/11/2025 6:11:25 pm</t>
  </si>
  <si>
    <t>Pass : 27/11/2025 6:11:27 pm</t>
  </si>
  <si>
    <t>Pass : 27/11/2025 6:11:28 pm</t>
  </si>
  <si>
    <t>Pass : 12/02/2026 11:54:22 am</t>
  </si>
  <si>
    <t>Pass : 12/02/2026 11:54:23 am</t>
  </si>
  <si>
    <t>Fail : 12/02/2026 11:54:44 am</t>
  </si>
  <si>
    <t>Pass : 12/02/2026 11:54:45 am</t>
  </si>
  <si>
    <t>Pass : 12/02/2026 11:54:58 am</t>
  </si>
  <si>
    <t>Fail : 12/02/2026 11:55:19 am</t>
  </si>
  <si>
    <t>Pass : 12/02/2026 11:55:19 am</t>
  </si>
  <si>
    <t>TCRDSTDR001</t>
  </si>
  <si>
    <t>RDSTDR</t>
  </si>
  <si>
    <t>TCRDSTDR002</t>
  </si>
  <si>
    <t>TCRDSTDR003</t>
  </si>
  <si>
    <t>TCRDSTDR004</t>
  </si>
  <si>
    <t>TCRDSTDR005</t>
  </si>
  <si>
    <t>TCRDSTDR006</t>
  </si>
  <si>
    <t>TCRDSTDR007</t>
  </si>
  <si>
    <t>TCRDSTDR008</t>
  </si>
  <si>
    <t>TCRDSTDR009</t>
  </si>
  <si>
    <t>TCRDSTDR010</t>
  </si>
  <si>
    <t>TCRDSTDR011</t>
  </si>
  <si>
    <t>TCRDSTDR012</t>
  </si>
  <si>
    <t>TCRDSTDR013</t>
  </si>
  <si>
    <t>TCRDSTDR014</t>
  </si>
  <si>
    <t>TCRDSTDR015</t>
  </si>
  <si>
    <t>TCRDSTDR016</t>
  </si>
  <si>
    <t>TCRDSTDR017</t>
  </si>
  <si>
    <t>TCRDSTDR018</t>
  </si>
  <si>
    <t>TCRDSTDR020</t>
  </si>
  <si>
    <t>TCRDSTDR021</t>
  </si>
  <si>
    <t>TCRDSTDR022</t>
  </si>
  <si>
    <t>TCRDSTDR023</t>
  </si>
  <si>
    <t>TCRDSTDR024</t>
  </si>
  <si>
    <t>TCRDSTDR025</t>
  </si>
  <si>
    <t>TCRDSTDR026</t>
  </si>
  <si>
    <t>TCRDSTDR027</t>
  </si>
  <si>
    <t>TCRDSTDR028</t>
  </si>
  <si>
    <t>TCRDSTDR029</t>
  </si>
  <si>
    <t>TCRDSTDR030</t>
  </si>
  <si>
    <t>TCRDSTDR031</t>
  </si>
  <si>
    <t>TCRDSTDR032</t>
  </si>
  <si>
    <t>click RDSTDR</t>
  </si>
  <si>
    <t>OpenRD</t>
  </si>
  <si>
    <t>85002040620</t>
  </si>
  <si>
    <t>Enter CIF</t>
  </si>
  <si>
    <t>Account number</t>
  </si>
  <si>
    <t>SelectRadio</t>
  </si>
  <si>
    <t>Months</t>
  </si>
  <si>
    <t>DepositAmount</t>
  </si>
  <si>
    <t>MaturityInstructions</t>
  </si>
  <si>
    <t>NomineeAddress1</t>
  </si>
  <si>
    <t>NomineeAddress2</t>
  </si>
  <si>
    <t>NomineeRelationType</t>
  </si>
  <si>
    <t>DOB</t>
  </si>
  <si>
    <t>Age</t>
  </si>
  <si>
    <t>MobileNumber</t>
  </si>
  <si>
    <t>GuardianName</t>
  </si>
  <si>
    <t>GuardianDOB</t>
  </si>
  <si>
    <t>GuardianAge</t>
  </si>
  <si>
    <t>GuardianAddress1</t>
  </si>
  <si>
    <t>GuardianAddress2</t>
  </si>
  <si>
    <t>GuardianRelationType</t>
  </si>
  <si>
    <t>PROCEED_ENABLED</t>
  </si>
  <si>
    <t>User is able to navigate RDSTDR details Tab</t>
  </si>
  <si>
    <t>account is selected/Entered</t>
  </si>
  <si>
    <t>Valid data '85002040620' is Entered/Selected in the focused field.</t>
  </si>
  <si>
    <t>Fail : 02/07/2026 3:48:42 pm</t>
  </si>
  <si>
    <t>Select RDSTDR sub function</t>
  </si>
  <si>
    <t>User should be able to click RDSTDR service</t>
  </si>
  <si>
    <t xml:space="preserve"> Select Open RD Radio Button </t>
  </si>
  <si>
    <t xml:space="preserve">User should able to select open RD radio button </t>
  </si>
  <si>
    <t xml:space="preserve">User should able to click on Proceed Button </t>
  </si>
  <si>
    <t xml:space="preserve">Enter CIF Number </t>
  </si>
  <si>
    <t>User should able to enter CIF number</t>
  </si>
  <si>
    <t xml:space="preserve">Enter Account Number </t>
  </si>
  <si>
    <t>User should able to enter Account number</t>
  </si>
  <si>
    <t xml:space="preserve">Select tenure in Months from Dropdown </t>
  </si>
  <si>
    <t xml:space="preserve">User should able to select tenure in Months from Dropdown </t>
  </si>
  <si>
    <t xml:space="preserve">Enter Deposite Amount </t>
  </si>
  <si>
    <t>User should able to enter Deposite Amount</t>
  </si>
  <si>
    <t xml:space="preserve">Verify Maturity Instruction </t>
  </si>
  <si>
    <t>User should be verify Maturity Instruction</t>
  </si>
  <si>
    <t>User should be Select Standing Instruction</t>
  </si>
  <si>
    <t>NomineeApplicable</t>
  </si>
  <si>
    <t xml:space="preserve">Select Standing Instruction </t>
  </si>
  <si>
    <t xml:space="preserve">Select Nominee Applicable </t>
  </si>
  <si>
    <t xml:space="preserve">User should be Select Nominee Applicable </t>
  </si>
  <si>
    <t>TCRDSTDR033</t>
  </si>
  <si>
    <t>NomineeType</t>
  </si>
  <si>
    <t xml:space="preserve">Select Nominee Type </t>
  </si>
  <si>
    <t xml:space="preserve">User should be Select Nominee Type </t>
  </si>
  <si>
    <t>TCRDSTDR034</t>
  </si>
  <si>
    <t xml:space="preserve">Enter Number of Nominee  </t>
  </si>
  <si>
    <t>User should be enter Number of Nominee</t>
  </si>
  <si>
    <t>NumberofNominee</t>
  </si>
  <si>
    <t>User is able to navigate Radio Button</t>
  </si>
  <si>
    <t>Click on "Radio Button "  Tab</t>
  </si>
  <si>
    <t>User Should be able to select Click on "Radio Button"  Tab</t>
  </si>
  <si>
    <t>Valid data '1000' is Entered/Selected in the focused field.</t>
  </si>
  <si>
    <t>Payback Principal and Interest is selected/Entered</t>
  </si>
  <si>
    <t>StandingInstruction</t>
  </si>
  <si>
    <t>User Selectd Standing Instruction</t>
  </si>
  <si>
    <t>TCRDSTDR035</t>
  </si>
  <si>
    <t>User Selectd Nominee Applicable</t>
  </si>
  <si>
    <t>Proceed button is enabled and clickable.</t>
  </si>
  <si>
    <t>Pass : 21/09/2026 1:26:18 pm</t>
  </si>
  <si>
    <t>Click Confirm Button</t>
  </si>
  <si>
    <t>Confirm details page should be visible</t>
  </si>
  <si>
    <t>ClickConfirm</t>
  </si>
  <si>
    <t>Enter Transaction password &amp; Click Authorize</t>
  </si>
  <si>
    <t>User should get authorized &amp; below success message should get display.</t>
  </si>
  <si>
    <t>31350906</t>
  </si>
  <si>
    <t>SuccessfulAuthorize</t>
  </si>
  <si>
    <t>Click on Scan your fingerprint to continue</t>
  </si>
  <si>
    <t>user should able to click on  Scan your fingerprint to continue</t>
  </si>
  <si>
    <t>FingerProceed</t>
  </si>
  <si>
    <t>TCRDSTDR036</t>
  </si>
  <si>
    <t>TCRDSTDR037</t>
  </si>
  <si>
    <t>TCRDSTDR038</t>
  </si>
  <si>
    <t>TCRDSTDR039</t>
  </si>
  <si>
    <t>Fail : 21/09/2026 2:00:31 pm</t>
  </si>
  <si>
    <t>Fail : 21/09/2026 2:00:32 pm</t>
  </si>
  <si>
    <t>Fail : 21/09/2026 2:00:33 pm</t>
  </si>
  <si>
    <t>Pass : 21/09/2026 2:00:43 pm</t>
  </si>
  <si>
    <t>Pass : 22/09/2026 5:17:55 pm</t>
  </si>
  <si>
    <t>Fail : 22/09/2026 5:17:55 pm</t>
  </si>
  <si>
    <t>Pass : 22/09/2026 5:18:01 pm</t>
  </si>
  <si>
    <t>Fail : 22/09/2026 5:18:16 pm</t>
  </si>
  <si>
    <t>Fail : 22/09/2026 5:18:17 pm</t>
  </si>
  <si>
    <t>Fail : 22/09/2026 5:18:18 pm</t>
  </si>
  <si>
    <t>Pass : 28/09/2026 11:56:28 am</t>
  </si>
  <si>
    <t>Pass : 28/09/2026 11:56:29 am</t>
  </si>
  <si>
    <t>Pass : 28/09/2026 11:56:34 am</t>
  </si>
  <si>
    <t>Pass : 28/09/2026 11:56:35 am</t>
  </si>
  <si>
    <t>Pass : 28/09/2026 11:56:40 am</t>
  </si>
  <si>
    <t>Pass : 28/09/2026 11:56:42 am</t>
  </si>
  <si>
    <t>Pass : 28/09/2026 11:56:47 am</t>
  </si>
  <si>
    <t>SBI615212459391</t>
  </si>
  <si>
    <t>Reference Number SBI615212459391 Entered.</t>
  </si>
  <si>
    <t>Pass : 06/10/2026 4:33:47 pm</t>
  </si>
  <si>
    <t>Pass : 06/10/2026 4:33:48 pm</t>
  </si>
  <si>
    <t>Pass : 06/10/2026 4:33:49 pm</t>
  </si>
  <si>
    <t>Pass : 06/10/2026 4:33:55 pm</t>
  </si>
  <si>
    <t>PAN</t>
  </si>
  <si>
    <t>Pass : 06/10/2026 5:50:29 pm</t>
  </si>
  <si>
    <t>Pass : 06/10/2026 5:50:30 pm</t>
  </si>
  <si>
    <t>Pass : 06/10/2026 5:50:32 pm</t>
  </si>
  <si>
    <t>Pass : 06/10/2026 5:50:37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</si>
</sst>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8EB4E3"/>
        <bgColor rgb="FF8EB4E3"/>
      </patternFill>
    </fill>
    <fill>
      <patternFill patternType="solid">
        <fgColor indexed="44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49" fontId="2" fillId="0" borderId="1" xfId="1" applyNumberFormat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3" borderId="1" xfId="1" applyNumberFormat="1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6" fillId="0" borderId="2" xfId="0" quotePrefix="1" applyFont="1" applyBorder="1" applyAlignment="1">
      <alignment horizontal="center" vertical="center" wrapText="1"/>
    </xf>
    <xf numFmtId="0" fontId="1" fillId="0" borderId="4" xfId="1" applyNumberFormat="1" applyFont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 wrapText="1"/>
    </xf>
    <xf numFmtId="0" fontId="6" fillId="4" borderId="1" xfId="0" quotePrefix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quotePrefix="1" applyFont="1" applyFill="1" applyBorder="1" applyAlignment="1">
      <alignment horizontal="center" vertical="center" wrapText="1"/>
    </xf>
    <xf numFmtId="0" fontId="6" fillId="6" borderId="1" xfId="0" quotePrefix="1" applyFont="1" applyFill="1" applyBorder="1" applyAlignment="1">
      <alignment horizontal="center" vertical="center" wrapText="1"/>
    </xf>
    <xf numFmtId="0" fontId="6" fillId="7" borderId="1" xfId="0" quotePrefix="1" applyFont="1" applyFill="1" applyBorder="1" applyAlignment="1">
      <alignment horizontal="center" vertical="center" wrapText="1"/>
    </xf>
    <xf numFmtId="0" fontId="6" fillId="4" borderId="2" xfId="0" quotePrefix="1" applyFont="1" applyFill="1" applyBorder="1" applyAlignment="1">
      <alignment horizontal="center" vertical="center" wrapText="1"/>
    </xf>
    <xf numFmtId="0" fontId="1" fillId="4" borderId="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6" fillId="8" borderId="1" xfId="0" quotePrefix="1" applyFont="1" applyFill="1" applyBorder="1" applyAlignment="1">
      <alignment horizontal="center" vertical="center" wrapText="1"/>
    </xf>
    <xf numFmtId="0" fontId="6" fillId="4" borderId="3" xfId="0" quotePrefix="1" applyFont="1" applyFill="1" applyBorder="1" applyAlignment="1">
      <alignment horizontal="center" vertical="center" wrapText="1"/>
    </xf>
    <xf numFmtId="0" fontId="6" fillId="0" borderId="2" xfId="0" quotePrefix="1" applyFont="1" applyFill="1" applyBorder="1" applyAlignment="1">
      <alignment horizontal="center" vertical="center" wrapText="1"/>
    </xf>
    <xf numFmtId="0" fontId="6" fillId="0" borderId="3" xfId="0" quotePrefix="1" applyFont="1" applyFill="1" applyBorder="1" applyAlignment="1">
      <alignment horizontal="center" vertical="center" wrapText="1"/>
    </xf>
    <xf numFmtId="0" fontId="1" fillId="0" borderId="4" xfId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Border="1" applyAlignment="1">
      <alignment horizontal="center" vertical="center" wrapText="1"/>
    </xf>
    <xf numFmtId="0" fontId="6" fillId="9" borderId="1" xfId="0" quotePrefix="1" applyFont="1" applyFill="1" applyBorder="1" applyAlignment="1">
      <alignment horizontal="center" vertical="center" wrapText="1"/>
    </xf>
    <xf numFmtId="0" fontId="6" fillId="9" borderId="2" xfId="0" quotePrefix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1" fillId="9" borderId="4" xfId="1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4" fontId="6" fillId="0" borderId="1" xfId="0" quotePrefix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6" fillId="0" borderId="3" xfId="0" quotePrefix="1" applyFont="1" applyBorder="1" applyAlignment="1">
      <alignment horizontal="left" vertical="center" wrapText="1"/>
    </xf>
    <xf numFmtId="0" fontId="2" fillId="0" borderId="3" xfId="1" quotePrefix="1" applyNumberFormat="1" applyFont="1" applyBorder="1" applyAlignment="1">
      <alignment horizontal="left" vertical="center" wrapText="1"/>
    </xf>
    <xf numFmtId="0" fontId="2" fillId="0" borderId="1" xfId="1" quotePrefix="1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4" borderId="1" xfId="0" quotePrefix="1" applyFont="1" applyFill="1" applyBorder="1" applyAlignment="1">
      <alignment horizontal="left" vertical="center" wrapText="1"/>
    </xf>
    <xf numFmtId="0" fontId="6" fillId="4" borderId="3" xfId="0" quotePrefix="1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wrapText="1"/>
    </xf>
    <xf numFmtId="0" fontId="6" fillId="4" borderId="1" xfId="0" applyFont="1" applyFill="1" applyBorder="1" applyAlignment="1">
      <alignment horizontal="left" wrapText="1"/>
    </xf>
    <xf numFmtId="0" fontId="6" fillId="4" borderId="3" xfId="0" applyFont="1" applyFill="1" applyBorder="1" applyAlignment="1">
      <alignment horizontal="left" wrapText="1"/>
    </xf>
    <xf numFmtId="0" fontId="2" fillId="4" borderId="1" xfId="1" quotePrefix="1" applyNumberFormat="1" applyFont="1" applyFill="1" applyBorder="1" applyAlignment="1">
      <alignment horizontal="left" vertical="center" wrapText="1"/>
    </xf>
    <xf numFmtId="0" fontId="2" fillId="4" borderId="3" xfId="1" quotePrefix="1" applyNumberFormat="1" applyFont="1" applyFill="1" applyBorder="1" applyAlignment="1">
      <alignment horizontal="left" vertical="center" wrapText="1"/>
    </xf>
    <xf numFmtId="0" fontId="2" fillId="0" borderId="1" xfId="1" quotePrefix="1" applyNumberFormat="1" applyFont="1" applyFill="1" applyBorder="1" applyAlignment="1">
      <alignment horizontal="left" vertical="center" wrapText="1"/>
    </xf>
    <xf numFmtId="0" fontId="2" fillId="0" borderId="3" xfId="1" quotePrefix="1" applyNumberFormat="1" applyFont="1" applyFill="1" applyBorder="1" applyAlignment="1">
      <alignment horizontal="left" vertical="center" wrapText="1"/>
    </xf>
    <xf numFmtId="0" fontId="6" fillId="9" borderId="1" xfId="0" quotePrefix="1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vertical="center" wrapText="1"/>
    </xf>
    <xf numFmtId="0" fontId="2" fillId="0" borderId="5" xfId="1" quotePrefix="1" applyFont="1" applyBorder="1" applyAlignment="1">
      <alignment horizontal="center" vertical="center" wrapText="1"/>
    </xf>
    <xf numFmtId="0" fontId="0" fillId="0" borderId="1" xfId="0" applyBorder="1"/>
    <xf numFmtId="0" fontId="2" fillId="0" borderId="1" xfId="1" quotePrefix="1" applyFont="1" applyBorder="1" applyAlignment="1">
      <alignment horizontal="center" vertical="center"/>
    </xf>
    <xf numFmtId="0" fontId="2" fillId="8" borderId="1" xfId="1" quotePrefix="1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2" fillId="4" borderId="1" xfId="1" quotePrefix="1" applyFont="1" applyFill="1" applyBorder="1" applyAlignment="1">
      <alignment horizontal="center" vertical="center" wrapText="1"/>
    </xf>
    <xf numFmtId="0" fontId="6" fillId="8" borderId="1" xfId="0" quotePrefix="1" applyFont="1" applyFill="1" applyBorder="1" applyAlignment="1">
      <alignment horizontal="left" vertical="center" wrapText="1"/>
    </xf>
    <xf numFmtId="0" fontId="6" fillId="8" borderId="3" xfId="0" quotePrefix="1" applyFont="1" applyFill="1" applyBorder="1" applyAlignment="1">
      <alignment horizontal="left" vertical="center" wrapText="1"/>
    </xf>
    <xf numFmtId="0" fontId="1" fillId="8" borderId="4" xfId="1" applyNumberFormat="1" applyFont="1" applyFill="1" applyBorder="1" applyAlignment="1">
      <alignment horizontal="center" vertical="center" wrapText="1"/>
    </xf>
    <xf numFmtId="0" fontId="0" fillId="8" borderId="1" xfId="0" applyFill="1" applyBorder="1"/>
    <xf numFmtId="0" fontId="0" fillId="8" borderId="1" xfId="0" quotePrefix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left" vertical="center" wrapText="1"/>
    </xf>
    <xf numFmtId="0" fontId="2" fillId="4" borderId="1" xfId="1" quotePrefix="1" applyNumberFormat="1" applyFont="1" applyFill="1" applyBorder="1" applyAlignment="1">
      <alignment vertical="center" wrapText="1"/>
    </xf>
    <xf numFmtId="0" fontId="2" fillId="4" borderId="1" xfId="1" quotePrefix="1" applyNumberFormat="1" applyFont="1" applyFill="1" applyBorder="1" applyAlignment="1">
      <alignment horizontal="center" vertical="center" wrapText="1"/>
    </xf>
    <xf numFmtId="0" fontId="2" fillId="4" borderId="1" xfId="1" quotePrefix="1" applyNumberFormat="1" applyFont="1" applyFill="1" applyBorder="1" applyAlignment="1">
      <alignment horizontal="center" vertical="center"/>
    </xf>
    <xf numFmtId="0" fontId="2" fillId="4" borderId="1" xfId="1" quotePrefix="1" applyFont="1" applyFill="1" applyBorder="1" applyAlignment="1">
      <alignment vertical="center" wrapText="1"/>
    </xf>
    <xf numFmtId="0" fontId="2" fillId="4" borderId="1" xfId="1" quotePrefix="1" applyFont="1" applyFill="1" applyBorder="1" applyAlignment="1">
      <alignment horizontal="center" vertical="center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5"/>
  <sheetViews>
    <sheetView tabSelected="1" topLeftCell="C1" zoomScale="80" zoomScaleNormal="80" workbookViewId="0">
      <selection activeCell="F20" sqref="F20"/>
    </sheetView>
  </sheetViews>
  <sheetFormatPr defaultRowHeight="15" x14ac:dyDescent="0.25"/>
  <cols>
    <col min="1" max="1" bestFit="true" customWidth="true" style="4" width="10.85546875" collapsed="true"/>
    <col min="2" max="2" customWidth="true" style="4" width="22.42578125" collapsed="true"/>
    <col min="3" max="3" customWidth="true" style="39" width="48.5703125" collapsed="true"/>
    <col min="4" max="4" customWidth="true" style="38" width="61.7109375" collapsed="true"/>
    <col min="5" max="5" customWidth="true" style="4" width="25.140625" collapsed="true"/>
    <col min="6" max="6" customWidth="true" style="4" width="28.28515625" collapsed="true"/>
    <col min="7" max="7" customWidth="true" style="4" width="23.5703125" collapsed="true"/>
    <col min="8" max="8" customWidth="true" style="4" width="19.140625" collapsed="true"/>
    <col min="9" max="9" customWidth="true" style="4" width="40.42578125" collapsed="true"/>
    <col min="10" max="10" customWidth="true" style="4" width="27.28515625" collapsed="true"/>
    <col min="11" max="11" customWidth="true" style="4" width="18.5703125" collapsed="true"/>
    <col min="12" max="12" bestFit="true" customWidth="true" style="4" width="29.0" collapsed="true"/>
    <col min="13" max="13" customWidth="true" width="10.7109375" collapsed="true"/>
    <col min="14" max="16384" style="4" width="9.140625" collapsed="true"/>
  </cols>
  <sheetData>
    <row r="1" spans="1:13" x14ac:dyDescent="0.25">
      <c r="A1" s="1" t="s">
        <v>0</v>
      </c>
      <c r="B1" s="2" t="s">
        <v>1</v>
      </c>
      <c r="C1" s="1" t="s">
        <v>2</v>
      </c>
      <c r="D1" s="3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>
        <v>11</v>
      </c>
      <c r="M1" s="4">
        <v>12</v>
      </c>
    </row>
    <row r="2" spans="1:13" ht="45" x14ac:dyDescent="0.25">
      <c r="A2" s="5" t="s">
        <v>11</v>
      </c>
      <c r="B2" s="6" t="s">
        <v>12</v>
      </c>
      <c r="C2" s="5" t="s">
        <v>13</v>
      </c>
      <c r="D2" s="7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5" t="s">
        <v>21</v>
      </c>
      <c r="L2" s="9" t="s">
        <v>22</v>
      </c>
      <c r="M2" s="8" t="s">
        <v>23</v>
      </c>
    </row>
    <row r="3" spans="1:13" ht="30" x14ac:dyDescent="0.25">
      <c r="A3" s="10" t="s">
        <v>24</v>
      </c>
      <c r="B3" s="11" t="s">
        <v>25</v>
      </c>
      <c r="C3" s="41" t="s">
        <v>26</v>
      </c>
      <c r="D3" s="42" t="s">
        <v>27</v>
      </c>
      <c r="E3" s="10" t="s">
        <v>28</v>
      </c>
      <c r="F3" s="10" t="s">
        <v>29</v>
      </c>
      <c r="G3" s="10" t="s">
        <v>28</v>
      </c>
      <c r="H3" s="10" t="s">
        <v>30</v>
      </c>
      <c r="I3" s="4" t="s">
        <v>794</v>
      </c>
      <c r="J3" s="10" t="s">
        <v>943</v>
      </c>
      <c r="K3" s="10" t="s">
        <v>31</v>
      </c>
      <c r="L3" s="12" t="str">
        <f>LEFT(J3,   4)</f>
        <v>Pass : 06/10/2026 5:50:29 pm</v>
      </c>
      <c r="M3" s="10" t="s">
        <v>28</v>
      </c>
    </row>
    <row r="4" spans="1:13" ht="30" x14ac:dyDescent="0.25">
      <c r="A4" s="10" t="s">
        <v>32</v>
      </c>
      <c r="B4" s="11" t="s">
        <v>25</v>
      </c>
      <c r="C4" s="41" t="s">
        <v>33</v>
      </c>
      <c r="D4" s="42" t="s">
        <v>34</v>
      </c>
      <c r="E4" s="10"/>
      <c r="F4" s="10" t="s">
        <v>35</v>
      </c>
      <c r="G4" s="10"/>
      <c r="H4" s="10" t="s">
        <v>30</v>
      </c>
      <c r="I4" s="4" t="s">
        <v>36</v>
      </c>
      <c r="J4" s="10" t="s">
        <v>944</v>
      </c>
      <c r="K4" s="10" t="s">
        <v>31</v>
      </c>
      <c r="L4" s="12" t="str">
        <f t="shared" ref="L4:L11" si="0">LEFT(J4,         4)</f>
        <v>Pass : 06/10/2026 5:50:30 pm</v>
      </c>
      <c r="M4" s="10" t="s">
        <v>28</v>
      </c>
    </row>
    <row r="5" spans="1:13" ht="30" x14ac:dyDescent="0.25">
      <c r="A5" s="10" t="s">
        <v>37</v>
      </c>
      <c r="B5" s="11" t="s">
        <v>25</v>
      </c>
      <c r="C5" s="41" t="s">
        <v>38</v>
      </c>
      <c r="D5" s="43" t="s">
        <v>39</v>
      </c>
      <c r="E5" s="13" t="s">
        <v>28</v>
      </c>
      <c r="F5" s="10" t="s">
        <v>40</v>
      </c>
      <c r="G5" s="10" t="s">
        <v>41</v>
      </c>
      <c r="H5" s="10" t="s">
        <v>30</v>
      </c>
      <c r="I5" s="4" t="s">
        <v>937</v>
      </c>
      <c r="J5" s="10" t="s">
        <v>945</v>
      </c>
      <c r="K5" s="10" t="s">
        <v>31</v>
      </c>
      <c r="L5" s="12" t="str">
        <f t="shared" si="0"/>
        <v>Pass : 06/10/2026 5:50:32 pm</v>
      </c>
      <c r="M5" s="10" t="s">
        <v>1</v>
      </c>
    </row>
    <row r="6" spans="1:13" ht="30" x14ac:dyDescent="0.25">
      <c r="A6" s="10" t="s">
        <v>37</v>
      </c>
      <c r="B6" s="11" t="s">
        <v>25</v>
      </c>
      <c r="C6" s="41" t="s">
        <v>43</v>
      </c>
      <c r="D6" s="43" t="s">
        <v>44</v>
      </c>
      <c r="E6" s="13" t="s">
        <v>936</v>
      </c>
      <c r="F6" s="10" t="s">
        <v>45</v>
      </c>
      <c r="G6" s="10" t="s">
        <v>46</v>
      </c>
      <c r="H6" s="10" t="s">
        <v>30</v>
      </c>
      <c r="I6" s="4" t="s">
        <v>47</v>
      </c>
      <c r="J6" s="10" t="s">
        <v>48</v>
      </c>
      <c r="K6" s="10" t="str">
        <f>IF(G5="No","N",IF(G5="Yes","Y","N"))</f>
        <v>Y</v>
      </c>
      <c r="L6" s="12" t="str">
        <f>LEFT(J6,         4)</f>
        <v>Pass</v>
      </c>
      <c r="M6" s="10" t="s">
        <v>1</v>
      </c>
    </row>
    <row r="7" spans="1:13" ht="30" x14ac:dyDescent="0.25">
      <c r="A7" s="10" t="s">
        <v>37</v>
      </c>
      <c r="B7" s="11" t="s">
        <v>25</v>
      </c>
      <c r="C7" s="41" t="s">
        <v>49</v>
      </c>
      <c r="D7" s="43" t="s">
        <v>50</v>
      </c>
      <c r="E7" s="13" t="s">
        <v>51</v>
      </c>
      <c r="F7" s="10" t="s">
        <v>52</v>
      </c>
      <c r="G7" s="10" t="s">
        <v>53</v>
      </c>
      <c r="H7" s="10" t="s">
        <v>30</v>
      </c>
      <c r="I7" s="4" t="s">
        <v>54</v>
      </c>
      <c r="J7" s="10" t="s">
        <v>55</v>
      </c>
      <c r="K7" s="10" t="str">
        <f>IF(G5="No","Y",IF(G5="Yes","N","N"))</f>
        <v>N</v>
      </c>
      <c r="L7" s="12" t="str">
        <f t="shared" si="0"/>
        <v>Pass</v>
      </c>
      <c r="M7" s="10" t="s">
        <v>28</v>
      </c>
    </row>
    <row r="8" spans="1:13" x14ac:dyDescent="0.25">
      <c r="A8" s="10" t="s">
        <v>56</v>
      </c>
      <c r="B8" s="11" t="s">
        <v>25</v>
      </c>
      <c r="C8" s="44" t="s">
        <v>57</v>
      </c>
      <c r="D8" s="43" t="s">
        <v>58</v>
      </c>
      <c r="E8" s="13" t="s">
        <v>28</v>
      </c>
      <c r="F8" s="10" t="s">
        <v>59</v>
      </c>
      <c r="G8" s="10"/>
      <c r="H8" s="10" t="s">
        <v>30</v>
      </c>
      <c r="I8" s="4" t="s">
        <v>60</v>
      </c>
      <c r="J8" s="10" t="s">
        <v>946</v>
      </c>
      <c r="K8" s="10" t="s">
        <v>31</v>
      </c>
      <c r="L8" s="12" t="str">
        <f t="shared" si="0"/>
        <v>Pass : 06/10/2026 5:50:37 pm</v>
      </c>
      <c r="M8" s="10" t="s">
        <v>28</v>
      </c>
    </row>
    <row r="9" spans="1:13" ht="30" x14ac:dyDescent="0.25">
      <c r="A9" s="10" t="s">
        <v>61</v>
      </c>
      <c r="B9" s="11" t="s">
        <v>25</v>
      </c>
      <c r="C9" s="45" t="s">
        <v>62</v>
      </c>
      <c r="D9" s="43" t="s">
        <v>63</v>
      </c>
      <c r="E9" s="13" t="s">
        <v>28</v>
      </c>
      <c r="F9" s="10" t="s">
        <v>64</v>
      </c>
      <c r="G9" s="10"/>
      <c r="H9" s="10" t="s">
        <v>30</v>
      </c>
      <c r="I9" s="4" t="s">
        <v>65</v>
      </c>
      <c r="J9" s="10" t="s">
        <v>66</v>
      </c>
      <c r="K9" s="10" t="str">
        <f>IF(G5="No","Y",IF(G5="Yes","N","N"))</f>
        <v>N</v>
      </c>
      <c r="L9" s="12" t="str">
        <f t="shared" si="0"/>
        <v>Pass</v>
      </c>
      <c r="M9" s="10" t="s">
        <v>28</v>
      </c>
    </row>
    <row r="10" spans="1:13" ht="45" x14ac:dyDescent="0.25">
      <c r="A10" s="10" t="s">
        <v>67</v>
      </c>
      <c r="B10" s="11" t="s">
        <v>25</v>
      </c>
      <c r="C10" s="44" t="s">
        <v>68</v>
      </c>
      <c r="D10" s="43" t="s">
        <v>69</v>
      </c>
      <c r="E10" s="13" t="s">
        <v>28</v>
      </c>
      <c r="F10" s="10" t="s">
        <v>70</v>
      </c>
      <c r="G10" s="10"/>
      <c r="H10" s="10" t="s">
        <v>30</v>
      </c>
      <c r="I10" s="4" t="s">
        <v>71</v>
      </c>
      <c r="J10" s="10" t="s">
        <v>72</v>
      </c>
      <c r="K10" s="10" t="str">
        <f>IF(G5="No","Y",IF(G5="Yes","N","N"))</f>
        <v>N</v>
      </c>
      <c r="L10" s="12" t="str">
        <f t="shared" si="0"/>
        <v>Pass</v>
      </c>
      <c r="M10" s="10" t="s">
        <v>28</v>
      </c>
    </row>
    <row r="11" spans="1:13" ht="30" x14ac:dyDescent="0.25">
      <c r="A11" s="10" t="s">
        <v>73</v>
      </c>
      <c r="B11" s="11" t="s">
        <v>25</v>
      </c>
      <c r="C11" s="44" t="s">
        <v>757</v>
      </c>
      <c r="D11" s="43" t="s">
        <v>74</v>
      </c>
      <c r="E11" s="13" t="s">
        <v>28</v>
      </c>
      <c r="F11" s="10" t="s">
        <v>75</v>
      </c>
      <c r="G11" s="10"/>
      <c r="H11" s="10" t="s">
        <v>30</v>
      </c>
      <c r="I11" s="4" t="s">
        <v>76</v>
      </c>
      <c r="J11" s="10" t="s">
        <v>77</v>
      </c>
      <c r="K11" s="10" t="str">
        <f>IF(G5="No","Y",IF(G5="Yes","N","N"))</f>
        <v>N</v>
      </c>
      <c r="L11" s="12" t="str">
        <f t="shared" si="0"/>
        <v>Pass</v>
      </c>
      <c r="M11" s="10" t="s">
        <v>28</v>
      </c>
    </row>
    <row r="12" spans="1:13" x14ac:dyDescent="0.25">
      <c r="A12" s="10" t="s">
        <v>78</v>
      </c>
      <c r="B12" s="11" t="s">
        <v>25</v>
      </c>
      <c r="C12" s="41" t="s">
        <v>742</v>
      </c>
      <c r="D12" s="42" t="s">
        <v>80</v>
      </c>
      <c r="E12" s="10" t="s">
        <v>81</v>
      </c>
      <c r="F12" s="10" t="s">
        <v>82</v>
      </c>
      <c r="G12" s="10" t="s">
        <v>1</v>
      </c>
      <c r="H12" s="10" t="s">
        <v>30</v>
      </c>
      <c r="I12" s="4" t="s">
        <v>83</v>
      </c>
      <c r="J12" s="10" t="s">
        <v>801</v>
      </c>
      <c r="K12" s="10" t="s">
        <v>31</v>
      </c>
      <c r="L12" s="12" t="str">
        <f t="shared" ref="L12:L75" si="1">LEFT(J12,4)</f>
        <v>Pass : 12/02/2026 11:54:22 am</v>
      </c>
      <c r="M12" s="10" t="s">
        <v>1</v>
      </c>
    </row>
    <row r="13" spans="1:13" ht="30" x14ac:dyDescent="0.25">
      <c r="A13" s="10" t="s">
        <v>84</v>
      </c>
      <c r="B13" s="11" t="s">
        <v>25</v>
      </c>
      <c r="C13" s="41" t="s">
        <v>85</v>
      </c>
      <c r="D13" s="42" t="s">
        <v>86</v>
      </c>
      <c r="E13" s="14" t="s">
        <v>28</v>
      </c>
      <c r="F13" s="10" t="s">
        <v>87</v>
      </c>
      <c r="G13" s="10" t="s">
        <v>88</v>
      </c>
      <c r="H13" s="10" t="s">
        <v>30</v>
      </c>
      <c r="I13" s="4" t="s">
        <v>682</v>
      </c>
      <c r="J13" s="10" t="s">
        <v>801</v>
      </c>
      <c r="K13" s="10" t="s">
        <v>31</v>
      </c>
      <c r="L13" s="12" t="str">
        <f t="shared" si="1"/>
        <v>Pass : 12/02/2026 11:54:22 am</v>
      </c>
      <c r="M13" s="10" t="s">
        <v>1</v>
      </c>
    </row>
    <row r="14" spans="1:13" ht="30" x14ac:dyDescent="0.25">
      <c r="A14" s="10" t="s">
        <v>89</v>
      </c>
      <c r="B14" s="11" t="s">
        <v>25</v>
      </c>
      <c r="C14" s="41" t="s">
        <v>90</v>
      </c>
      <c r="D14" s="42" t="s">
        <v>86</v>
      </c>
      <c r="E14" s="14" t="s">
        <v>28</v>
      </c>
      <c r="F14" s="10" t="s">
        <v>91</v>
      </c>
      <c r="G14" s="10" t="s">
        <v>92</v>
      </c>
      <c r="H14" s="10" t="s">
        <v>30</v>
      </c>
      <c r="I14" s="4" t="s">
        <v>683</v>
      </c>
      <c r="J14" s="10" t="s">
        <v>801</v>
      </c>
      <c r="K14" s="10" t="s">
        <v>31</v>
      </c>
      <c r="L14" s="12" t="str">
        <f t="shared" si="1"/>
        <v>Pass : 12/02/2026 11:54:22 am</v>
      </c>
      <c r="M14" s="10" t="s">
        <v>1</v>
      </c>
    </row>
    <row r="15" spans="1:13" ht="30" x14ac:dyDescent="0.25">
      <c r="A15" s="10" t="s">
        <v>93</v>
      </c>
      <c r="B15" s="11" t="s">
        <v>25</v>
      </c>
      <c r="C15" s="41" t="s">
        <v>94</v>
      </c>
      <c r="D15" s="42" t="s">
        <v>86</v>
      </c>
      <c r="E15" s="14" t="s">
        <v>28</v>
      </c>
      <c r="F15" s="10" t="s">
        <v>95</v>
      </c>
      <c r="G15" s="10" t="s">
        <v>96</v>
      </c>
      <c r="H15" s="10" t="s">
        <v>30</v>
      </c>
      <c r="I15" s="4" t="s">
        <v>684</v>
      </c>
      <c r="J15" s="10" t="s">
        <v>801</v>
      </c>
      <c r="K15" s="10" t="s">
        <v>31</v>
      </c>
      <c r="L15" s="12" t="str">
        <f t="shared" si="1"/>
        <v>Pass : 12/02/2026 11:54:22 am</v>
      </c>
      <c r="M15" s="10" t="s">
        <v>1</v>
      </c>
    </row>
    <row r="16" spans="1:13" ht="30" x14ac:dyDescent="0.25">
      <c r="A16" s="10" t="s">
        <v>97</v>
      </c>
      <c r="B16" s="11" t="s">
        <v>25</v>
      </c>
      <c r="C16" s="41" t="s">
        <v>98</v>
      </c>
      <c r="D16" s="42" t="s">
        <v>86</v>
      </c>
      <c r="E16" s="10" t="s">
        <v>99</v>
      </c>
      <c r="F16" s="10" t="s">
        <v>100</v>
      </c>
      <c r="G16" s="10" t="s">
        <v>101</v>
      </c>
      <c r="H16" s="10" t="s">
        <v>30</v>
      </c>
      <c r="I16" s="4" t="s">
        <v>685</v>
      </c>
      <c r="J16" s="10" t="s">
        <v>802</v>
      </c>
      <c r="K16" s="10" t="s">
        <v>31</v>
      </c>
      <c r="L16" s="12" t="str">
        <f t="shared" si="1"/>
        <v>Pass : 12/02/2026 11:54:23 am</v>
      </c>
      <c r="M16" s="10" t="s">
        <v>1</v>
      </c>
    </row>
    <row r="17" spans="1:13" x14ac:dyDescent="0.25">
      <c r="A17" s="10" t="s">
        <v>102</v>
      </c>
      <c r="B17" s="11" t="s">
        <v>25</v>
      </c>
      <c r="C17" s="41" t="s">
        <v>103</v>
      </c>
      <c r="D17" s="42" t="s">
        <v>104</v>
      </c>
      <c r="E17" s="10" t="s">
        <v>105</v>
      </c>
      <c r="F17" s="10" t="s">
        <v>106</v>
      </c>
      <c r="G17" s="10" t="s">
        <v>107</v>
      </c>
      <c r="H17" s="10" t="s">
        <v>30</v>
      </c>
      <c r="I17" s="4" t="s">
        <v>714</v>
      </c>
      <c r="J17" s="10" t="s">
        <v>802</v>
      </c>
      <c r="K17" s="10" t="s">
        <v>31</v>
      </c>
      <c r="L17" s="12" t="str">
        <f t="shared" si="1"/>
        <v>Pass : 12/02/2026 11:54:23 am</v>
      </c>
      <c r="M17" s="10" t="s">
        <v>1</v>
      </c>
    </row>
    <row r="18" spans="1:13" ht="30" x14ac:dyDescent="0.25">
      <c r="A18" s="10" t="s">
        <v>108</v>
      </c>
      <c r="B18" s="11" t="s">
        <v>25</v>
      </c>
      <c r="C18" s="41" t="s">
        <v>109</v>
      </c>
      <c r="D18" s="42" t="s">
        <v>86</v>
      </c>
      <c r="E18" s="10" t="s">
        <v>110</v>
      </c>
      <c r="F18" s="10" t="s">
        <v>111</v>
      </c>
      <c r="G18" s="10" t="s">
        <v>110</v>
      </c>
      <c r="H18" s="10" t="s">
        <v>30</v>
      </c>
      <c r="I18" s="4" t="s">
        <v>112</v>
      </c>
      <c r="J18" s="10" t="s">
        <v>802</v>
      </c>
      <c r="K18" s="10" t="s">
        <v>31</v>
      </c>
      <c r="L18" s="12" t="str">
        <f t="shared" si="1"/>
        <v>Pass : 12/02/2026 11:54:23 am</v>
      </c>
      <c r="M18" s="10" t="s">
        <v>1</v>
      </c>
    </row>
    <row r="19" spans="1:13" ht="45" x14ac:dyDescent="0.25">
      <c r="A19" s="10" t="s">
        <v>113</v>
      </c>
      <c r="B19" s="11" t="s">
        <v>25</v>
      </c>
      <c r="C19" s="41" t="s">
        <v>754</v>
      </c>
      <c r="D19" s="42" t="s">
        <v>114</v>
      </c>
      <c r="E19" s="15" t="s">
        <v>942</v>
      </c>
      <c r="F19" s="10" t="s">
        <v>115</v>
      </c>
      <c r="G19" s="10" t="s">
        <v>116</v>
      </c>
      <c r="H19" s="10" t="s">
        <v>30</v>
      </c>
      <c r="I19" s="4" t="s">
        <v>130</v>
      </c>
      <c r="J19" s="10" t="s">
        <v>803</v>
      </c>
      <c r="K19" s="10" t="s">
        <v>31</v>
      </c>
      <c r="L19" s="12" t="str">
        <f t="shared" si="1"/>
        <v>Fail : 12/02/2026 11:54:44 am</v>
      </c>
      <c r="M19" s="10" t="s">
        <v>28</v>
      </c>
    </row>
    <row r="20" spans="1:13" ht="30" x14ac:dyDescent="0.25">
      <c r="A20" s="10" t="s">
        <v>118</v>
      </c>
      <c r="B20" s="11" t="s">
        <v>25</v>
      </c>
      <c r="C20" s="41" t="s">
        <v>743</v>
      </c>
      <c r="D20" s="42" t="s">
        <v>119</v>
      </c>
      <c r="E20" s="10" t="s">
        <v>81</v>
      </c>
      <c r="F20" s="10" t="s">
        <v>82</v>
      </c>
      <c r="G20" s="10" t="s">
        <v>1</v>
      </c>
      <c r="H20" s="10" t="s">
        <v>30</v>
      </c>
      <c r="I20" s="4" t="s">
        <v>83</v>
      </c>
      <c r="J20" s="10" t="s">
        <v>804</v>
      </c>
      <c r="K20" s="10" t="s">
        <v>31</v>
      </c>
      <c r="L20" s="12" t="str">
        <f t="shared" si="1"/>
        <v>Pass : 12/02/2026 11:54:45 am</v>
      </c>
      <c r="M20" s="10" t="s">
        <v>1</v>
      </c>
    </row>
    <row r="21" spans="1:13" ht="30" x14ac:dyDescent="0.25">
      <c r="A21" s="10" t="s">
        <v>120</v>
      </c>
      <c r="B21" s="11" t="s">
        <v>25</v>
      </c>
      <c r="C21" s="41" t="s">
        <v>755</v>
      </c>
      <c r="D21" s="42" t="s">
        <v>121</v>
      </c>
      <c r="E21" s="10" t="s">
        <v>28</v>
      </c>
      <c r="F21" s="10" t="s">
        <v>122</v>
      </c>
      <c r="G21" s="10" t="s">
        <v>123</v>
      </c>
      <c r="H21" s="10" t="s">
        <v>30</v>
      </c>
      <c r="I21" s="4" t="s">
        <v>686</v>
      </c>
      <c r="J21" s="10" t="s">
        <v>805</v>
      </c>
      <c r="K21" s="10" t="s">
        <v>31</v>
      </c>
      <c r="L21" s="12" t="str">
        <f t="shared" si="1"/>
        <v>Pass : 12/02/2026 11:54:58 am</v>
      </c>
      <c r="M21" s="10" t="s">
        <v>1</v>
      </c>
    </row>
    <row r="22" spans="1:13" ht="45" x14ac:dyDescent="0.25">
      <c r="A22" s="10" t="s">
        <v>124</v>
      </c>
      <c r="B22" s="11" t="s">
        <v>25</v>
      </c>
      <c r="C22" s="41" t="s">
        <v>756</v>
      </c>
      <c r="D22" s="42" t="s">
        <v>125</v>
      </c>
      <c r="E22" s="10" t="s">
        <v>28</v>
      </c>
      <c r="F22" s="10" t="s">
        <v>126</v>
      </c>
      <c r="G22" s="10" t="s">
        <v>88</v>
      </c>
      <c r="H22" s="10" t="s">
        <v>30</v>
      </c>
      <c r="I22" s="4" t="s">
        <v>130</v>
      </c>
      <c r="J22" s="10" t="s">
        <v>806</v>
      </c>
      <c r="K22" s="10" t="s">
        <v>31</v>
      </c>
      <c r="L22" s="12" t="str">
        <f t="shared" si="1"/>
        <v>Fail : 12/02/2026 11:55:19 am</v>
      </c>
      <c r="M22" s="10" t="s">
        <v>3</v>
      </c>
    </row>
    <row r="23" spans="1:13" ht="45" x14ac:dyDescent="0.25">
      <c r="A23" s="10" t="s">
        <v>127</v>
      </c>
      <c r="B23" s="11" t="s">
        <v>25</v>
      </c>
      <c r="C23" s="41" t="s">
        <v>745</v>
      </c>
      <c r="D23" s="42" t="s">
        <v>744</v>
      </c>
      <c r="E23" s="10" t="s">
        <v>128</v>
      </c>
      <c r="F23" s="10" t="s">
        <v>129</v>
      </c>
      <c r="G23" s="10"/>
      <c r="H23" s="10" t="s">
        <v>30</v>
      </c>
      <c r="I23" s="4" t="s">
        <v>130</v>
      </c>
      <c r="J23" s="10" t="s">
        <v>131</v>
      </c>
      <c r="K23" s="16" t="s">
        <v>132</v>
      </c>
      <c r="L23" s="12" t="str">
        <f t="shared" si="1"/>
        <v>Fail</v>
      </c>
      <c r="M23" s="10" t="s">
        <v>28</v>
      </c>
    </row>
    <row r="24" spans="1:13" ht="30" x14ac:dyDescent="0.25">
      <c r="A24" s="10" t="s">
        <v>133</v>
      </c>
      <c r="B24" s="11" t="s">
        <v>25</v>
      </c>
      <c r="C24" s="41" t="s">
        <v>134</v>
      </c>
      <c r="D24" s="42" t="s">
        <v>135</v>
      </c>
      <c r="E24" s="10" t="s">
        <v>128</v>
      </c>
      <c r="F24" s="10" t="s">
        <v>136</v>
      </c>
      <c r="G24" s="10" t="s">
        <v>137</v>
      </c>
      <c r="H24" s="10" t="s">
        <v>30</v>
      </c>
      <c r="I24" s="4" t="s">
        <v>138</v>
      </c>
      <c r="J24" s="10" t="s">
        <v>139</v>
      </c>
      <c r="K24" s="16" t="s">
        <v>132</v>
      </c>
      <c r="L24" s="12" t="str">
        <f t="shared" si="1"/>
        <v>Pass</v>
      </c>
      <c r="M24" s="10" t="s">
        <v>28</v>
      </c>
    </row>
    <row r="25" spans="1:13" ht="30" x14ac:dyDescent="0.25">
      <c r="A25" s="10" t="s">
        <v>140</v>
      </c>
      <c r="B25" s="11" t="s">
        <v>25</v>
      </c>
      <c r="C25" s="41" t="s">
        <v>141</v>
      </c>
      <c r="D25" s="42" t="s">
        <v>142</v>
      </c>
      <c r="E25" s="10" t="s">
        <v>143</v>
      </c>
      <c r="F25" s="10" t="s">
        <v>144</v>
      </c>
      <c r="G25" s="10" t="s">
        <v>137</v>
      </c>
      <c r="H25" s="10" t="s">
        <v>30</v>
      </c>
      <c r="I25" s="4" t="s">
        <v>145</v>
      </c>
      <c r="J25" s="10" t="s">
        <v>807</v>
      </c>
      <c r="K25" s="10" t="s">
        <v>31</v>
      </c>
      <c r="L25" s="12" t="str">
        <f t="shared" si="1"/>
        <v>Pass : 12/02/2026 11:55:19 am</v>
      </c>
      <c r="M25" s="10" t="s">
        <v>1</v>
      </c>
    </row>
    <row r="26" spans="1:13" x14ac:dyDescent="0.25">
      <c r="A26" s="10" t="s">
        <v>146</v>
      </c>
      <c r="B26" s="11" t="s">
        <v>25</v>
      </c>
      <c r="C26" s="41" t="s">
        <v>758</v>
      </c>
      <c r="D26" s="42" t="s">
        <v>147</v>
      </c>
      <c r="E26" s="10" t="s">
        <v>688</v>
      </c>
      <c r="F26" s="10" t="s">
        <v>148</v>
      </c>
      <c r="G26" s="10" t="s">
        <v>2</v>
      </c>
      <c r="H26" s="10" t="s">
        <v>30</v>
      </c>
      <c r="I26" s="4" t="s">
        <v>691</v>
      </c>
      <c r="J26" s="10" t="s">
        <v>795</v>
      </c>
      <c r="K26" s="10" t="s">
        <v>31</v>
      </c>
      <c r="L26" s="12" t="str">
        <f t="shared" si="1"/>
        <v>Pass : 27/11/2025 6:11:21 pm</v>
      </c>
      <c r="M26" s="10" t="s">
        <v>2</v>
      </c>
    </row>
    <row r="27" spans="1:13" x14ac:dyDescent="0.25">
      <c r="A27" s="10" t="s">
        <v>149</v>
      </c>
      <c r="B27" s="11" t="s">
        <v>25</v>
      </c>
      <c r="C27" s="41" t="s">
        <v>746</v>
      </c>
      <c r="D27" s="42" t="s">
        <v>150</v>
      </c>
      <c r="E27" s="10" t="s">
        <v>689</v>
      </c>
      <c r="F27" s="10" t="s">
        <v>151</v>
      </c>
      <c r="G27" s="10" t="s">
        <v>3</v>
      </c>
      <c r="H27" s="10" t="s">
        <v>30</v>
      </c>
      <c r="I27" s="4" t="s">
        <v>692</v>
      </c>
      <c r="J27" s="10" t="s">
        <v>796</v>
      </c>
      <c r="K27" s="10" t="s">
        <v>31</v>
      </c>
      <c r="L27" s="12" t="str">
        <f>LEFT(J27,4)</f>
        <v>Pass : 27/11/2025 6:11:22 pm</v>
      </c>
      <c r="M27" s="10" t="s">
        <v>1</v>
      </c>
    </row>
    <row r="28" spans="1:13" x14ac:dyDescent="0.25">
      <c r="A28" s="10" t="s">
        <v>152</v>
      </c>
      <c r="B28" s="11" t="s">
        <v>25</v>
      </c>
      <c r="C28" s="41" t="s">
        <v>759</v>
      </c>
      <c r="D28" s="42" t="s">
        <v>153</v>
      </c>
      <c r="E28" s="10" t="s">
        <v>690</v>
      </c>
      <c r="F28" s="10" t="s">
        <v>154</v>
      </c>
      <c r="G28" s="10" t="s">
        <v>4</v>
      </c>
      <c r="H28" s="10" t="s">
        <v>30</v>
      </c>
      <c r="I28" s="4" t="s">
        <v>687</v>
      </c>
      <c r="J28" s="10" t="s">
        <v>797</v>
      </c>
      <c r="K28" s="10" t="s">
        <v>31</v>
      </c>
      <c r="L28" s="12" t="str">
        <f>LEFT(J28,4)</f>
        <v>Pass : 27/11/2025 6:11:24 pm</v>
      </c>
      <c r="M28" s="17" t="s">
        <v>2</v>
      </c>
    </row>
    <row r="29" spans="1:13" x14ac:dyDescent="0.25">
      <c r="A29" s="10" t="s">
        <v>155</v>
      </c>
      <c r="B29" s="11" t="s">
        <v>25</v>
      </c>
      <c r="C29" s="41" t="s">
        <v>748</v>
      </c>
      <c r="D29" s="42" t="s">
        <v>157</v>
      </c>
      <c r="E29" s="10" t="s">
        <v>158</v>
      </c>
      <c r="F29" s="10" t="s">
        <v>159</v>
      </c>
      <c r="G29" s="10" t="s">
        <v>156</v>
      </c>
      <c r="H29" s="10" t="s">
        <v>30</v>
      </c>
      <c r="I29" s="4" t="s">
        <v>160</v>
      </c>
      <c r="J29" s="10" t="s">
        <v>798</v>
      </c>
      <c r="K29" s="10" t="s">
        <v>31</v>
      </c>
      <c r="L29" s="12" t="str">
        <f t="shared" si="1"/>
        <v>Pass : 27/11/2025 6:11:25 pm</v>
      </c>
      <c r="M29" s="10" t="s">
        <v>1</v>
      </c>
    </row>
    <row r="30" spans="1:13" x14ac:dyDescent="0.25">
      <c r="A30" s="10" t="s">
        <v>161</v>
      </c>
      <c r="B30" s="11" t="s">
        <v>25</v>
      </c>
      <c r="C30" s="41" t="s">
        <v>749</v>
      </c>
      <c r="D30" s="42" t="s">
        <v>162</v>
      </c>
      <c r="E30" s="10" t="s">
        <v>163</v>
      </c>
      <c r="F30" s="10" t="s">
        <v>164</v>
      </c>
      <c r="G30" s="10" t="s">
        <v>165</v>
      </c>
      <c r="H30" s="10" t="s">
        <v>30</v>
      </c>
      <c r="I30" s="4" t="s">
        <v>166</v>
      </c>
      <c r="J30" s="10" t="s">
        <v>799</v>
      </c>
      <c r="K30" s="10" t="s">
        <v>31</v>
      </c>
      <c r="L30" s="12" t="str">
        <f t="shared" si="1"/>
        <v>Pass : 27/11/2025 6:11:27 pm</v>
      </c>
      <c r="M30" s="18" t="s">
        <v>1</v>
      </c>
    </row>
    <row r="31" spans="1:13" x14ac:dyDescent="0.25">
      <c r="A31" s="10" t="s">
        <v>167</v>
      </c>
      <c r="B31" s="11" t="s">
        <v>25</v>
      </c>
      <c r="C31" s="41" t="s">
        <v>747</v>
      </c>
      <c r="D31" s="42" t="s">
        <v>169</v>
      </c>
      <c r="E31" s="10" t="s">
        <v>170</v>
      </c>
      <c r="F31" s="10" t="s">
        <v>171</v>
      </c>
      <c r="G31" s="10" t="s">
        <v>5</v>
      </c>
      <c r="H31" s="10" t="s">
        <v>30</v>
      </c>
      <c r="I31" s="4" t="s">
        <v>172</v>
      </c>
      <c r="J31" s="10" t="s">
        <v>800</v>
      </c>
      <c r="K31" s="10" t="s">
        <v>31</v>
      </c>
      <c r="L31" s="12" t="str">
        <f t="shared" si="1"/>
        <v>Pass : 27/11/2025 6:11:28 pm</v>
      </c>
      <c r="M31" s="10" t="s">
        <v>3</v>
      </c>
    </row>
    <row r="32" spans="1:13" x14ac:dyDescent="0.25">
      <c r="A32" s="10" t="s">
        <v>173</v>
      </c>
      <c r="B32" s="11" t="s">
        <v>25</v>
      </c>
      <c r="C32" s="41" t="s">
        <v>750</v>
      </c>
      <c r="D32" s="42" t="s">
        <v>174</v>
      </c>
      <c r="E32" s="10" t="s">
        <v>175</v>
      </c>
      <c r="F32" s="10" t="s">
        <v>176</v>
      </c>
      <c r="G32" s="10" t="s">
        <v>6</v>
      </c>
      <c r="H32" s="10" t="s">
        <v>30</v>
      </c>
      <c r="I32" s="4" t="s">
        <v>172</v>
      </c>
      <c r="J32" s="10" t="s">
        <v>787</v>
      </c>
      <c r="K32" s="10" t="s">
        <v>31</v>
      </c>
      <c r="L32" s="12" t="str">
        <f t="shared" si="1"/>
        <v>Pass : 30/10/2025 3:12:40 pm</v>
      </c>
      <c r="M32" s="10" t="s">
        <v>4</v>
      </c>
    </row>
    <row r="33" spans="1:13" x14ac:dyDescent="0.25">
      <c r="A33" s="10" t="s">
        <v>178</v>
      </c>
      <c r="B33" s="11" t="s">
        <v>25</v>
      </c>
      <c r="C33" s="41" t="s">
        <v>751</v>
      </c>
      <c r="D33" s="42" t="s">
        <v>179</v>
      </c>
      <c r="E33" s="10" t="s">
        <v>180</v>
      </c>
      <c r="F33" s="10" t="s">
        <v>181</v>
      </c>
      <c r="G33" s="10" t="s">
        <v>7</v>
      </c>
      <c r="H33" s="10" t="s">
        <v>30</v>
      </c>
      <c r="I33" s="4" t="s">
        <v>182</v>
      </c>
      <c r="J33" s="10" t="s">
        <v>788</v>
      </c>
      <c r="K33" s="10" t="s">
        <v>31</v>
      </c>
      <c r="L33" s="12" t="str">
        <f t="shared" si="1"/>
        <v>Pass : 30/10/2025 3:12:41 pm</v>
      </c>
      <c r="M33" s="10" t="s">
        <v>5</v>
      </c>
    </row>
    <row r="34" spans="1:13" x14ac:dyDescent="0.25">
      <c r="A34" s="10" t="s">
        <v>183</v>
      </c>
      <c r="B34" s="11" t="s">
        <v>25</v>
      </c>
      <c r="C34" s="41" t="s">
        <v>752</v>
      </c>
      <c r="D34" s="42" t="s">
        <v>184</v>
      </c>
      <c r="E34" s="10" t="s">
        <v>185</v>
      </c>
      <c r="F34" s="10" t="s">
        <v>186</v>
      </c>
      <c r="G34" s="10" t="s">
        <v>8</v>
      </c>
      <c r="H34" s="10" t="s">
        <v>30</v>
      </c>
      <c r="I34" s="4" t="s">
        <v>187</v>
      </c>
      <c r="J34" s="10" t="s">
        <v>789</v>
      </c>
      <c r="K34" s="10" t="s">
        <v>31</v>
      </c>
      <c r="L34" s="12" t="str">
        <f t="shared" si="1"/>
        <v>Pass : 30/10/2025 3:12:43 pm</v>
      </c>
      <c r="M34" s="10" t="s">
        <v>6</v>
      </c>
    </row>
    <row r="35" spans="1:13" s="21" customFormat="1" x14ac:dyDescent="0.25">
      <c r="A35" s="10" t="s">
        <v>188</v>
      </c>
      <c r="B35" s="19" t="s">
        <v>25</v>
      </c>
      <c r="C35" s="41" t="s">
        <v>760</v>
      </c>
      <c r="D35" s="42" t="s">
        <v>189</v>
      </c>
      <c r="E35" s="14" t="s">
        <v>190</v>
      </c>
      <c r="F35" s="14" t="s">
        <v>191</v>
      </c>
      <c r="G35" s="14" t="s">
        <v>9</v>
      </c>
      <c r="H35" s="14" t="s">
        <v>30</v>
      </c>
      <c r="I35" s="4" t="s">
        <v>192</v>
      </c>
      <c r="J35" s="14" t="s">
        <v>790</v>
      </c>
      <c r="K35" s="14" t="s">
        <v>31</v>
      </c>
      <c r="L35" s="20" t="str">
        <f t="shared" si="1"/>
        <v>Pass : 30/10/2025 3:12:44 pm</v>
      </c>
      <c r="M35" s="10" t="s">
        <v>7</v>
      </c>
    </row>
    <row r="36" spans="1:13" ht="30" x14ac:dyDescent="0.25">
      <c r="A36" s="10" t="s">
        <v>193</v>
      </c>
      <c r="B36" s="11" t="s">
        <v>25</v>
      </c>
      <c r="C36" s="41" t="s">
        <v>761</v>
      </c>
      <c r="D36" s="42" t="s">
        <v>194</v>
      </c>
      <c r="E36" s="10" t="s">
        <v>195</v>
      </c>
      <c r="F36" s="10" t="s">
        <v>196</v>
      </c>
      <c r="G36" s="10" t="s">
        <v>88</v>
      </c>
      <c r="H36" s="10" t="s">
        <v>30</v>
      </c>
      <c r="I36" s="4" t="s">
        <v>197</v>
      </c>
      <c r="J36" s="10" t="s">
        <v>791</v>
      </c>
      <c r="K36" s="14" t="s">
        <v>31</v>
      </c>
      <c r="L36" s="12" t="str">
        <f t="shared" si="1"/>
        <v>Pass : 30/10/2025 3:12:46 pm</v>
      </c>
      <c r="M36" s="10" t="s">
        <v>4</v>
      </c>
    </row>
    <row r="37" spans="1:13" ht="30" x14ac:dyDescent="0.25">
      <c r="A37" s="10" t="s">
        <v>198</v>
      </c>
      <c r="B37" s="11" t="s">
        <v>25</v>
      </c>
      <c r="C37" s="41" t="s">
        <v>762</v>
      </c>
      <c r="D37" s="42" t="s">
        <v>199</v>
      </c>
      <c r="E37" s="10" t="s">
        <v>200</v>
      </c>
      <c r="F37" s="10" t="s">
        <v>201</v>
      </c>
      <c r="G37" s="10" t="s">
        <v>92</v>
      </c>
      <c r="H37" s="10" t="s">
        <v>30</v>
      </c>
      <c r="I37" s="4" t="s">
        <v>202</v>
      </c>
      <c r="J37" s="10" t="s">
        <v>792</v>
      </c>
      <c r="K37" s="14" t="s">
        <v>31</v>
      </c>
      <c r="L37" s="12" t="str">
        <f t="shared" si="1"/>
        <v>Pass : 30/10/2025 3:12:47 pm</v>
      </c>
      <c r="M37" s="10" t="s">
        <v>1</v>
      </c>
    </row>
    <row r="38" spans="1:13" ht="30" x14ac:dyDescent="0.25">
      <c r="A38" s="10" t="s">
        <v>203</v>
      </c>
      <c r="B38" s="11" t="s">
        <v>25</v>
      </c>
      <c r="C38" s="41" t="s">
        <v>763</v>
      </c>
      <c r="D38" s="42" t="s">
        <v>205</v>
      </c>
      <c r="E38" s="10" t="s">
        <v>206</v>
      </c>
      <c r="F38" s="10" t="s">
        <v>207</v>
      </c>
      <c r="G38" s="10" t="s">
        <v>204</v>
      </c>
      <c r="H38" s="10" t="s">
        <v>30</v>
      </c>
      <c r="I38" s="4" t="s">
        <v>208</v>
      </c>
      <c r="J38" s="10" t="s">
        <v>793</v>
      </c>
      <c r="K38" s="14" t="s">
        <v>31</v>
      </c>
      <c r="L38" s="12" t="str">
        <f t="shared" si="1"/>
        <v>Pass : 30/10/2025 3:12:49 pm</v>
      </c>
      <c r="M38" s="10" t="s">
        <v>2</v>
      </c>
    </row>
    <row r="39" spans="1:13" x14ac:dyDescent="0.25">
      <c r="A39" s="10" t="s">
        <v>209</v>
      </c>
      <c r="B39" s="11" t="s">
        <v>25</v>
      </c>
      <c r="C39" s="41" t="s">
        <v>764</v>
      </c>
      <c r="D39" s="42" t="s">
        <v>210</v>
      </c>
      <c r="E39" s="10" t="s">
        <v>195</v>
      </c>
      <c r="F39" s="14" t="s">
        <v>211</v>
      </c>
      <c r="G39" s="10" t="s">
        <v>212</v>
      </c>
      <c r="H39" s="10" t="s">
        <v>30</v>
      </c>
      <c r="I39" s="4" t="s">
        <v>197</v>
      </c>
      <c r="J39" s="10" t="s">
        <v>793</v>
      </c>
      <c r="K39" s="14" t="s">
        <v>31</v>
      </c>
      <c r="L39" s="12" t="str">
        <f t="shared" si="1"/>
        <v>Pass : 30/10/2025 3:12:49 pm</v>
      </c>
      <c r="M39" s="10" t="s">
        <v>1</v>
      </c>
    </row>
    <row r="40" spans="1:13" x14ac:dyDescent="0.25">
      <c r="A40" s="10" t="s">
        <v>213</v>
      </c>
      <c r="B40" s="11" t="s">
        <v>25</v>
      </c>
      <c r="C40" s="41" t="s">
        <v>765</v>
      </c>
      <c r="D40" s="42" t="s">
        <v>214</v>
      </c>
      <c r="E40" s="10" t="s">
        <v>200</v>
      </c>
      <c r="F40" s="10" t="s">
        <v>215</v>
      </c>
      <c r="G40" s="10" t="s">
        <v>28</v>
      </c>
      <c r="H40" s="10" t="s">
        <v>30</v>
      </c>
      <c r="I40" s="4" t="s">
        <v>202</v>
      </c>
      <c r="J40" s="10" t="s">
        <v>793</v>
      </c>
      <c r="K40" s="14" t="s">
        <v>31</v>
      </c>
      <c r="L40" s="12" t="str">
        <f t="shared" si="1"/>
        <v>Pass : 30/10/2025 3:12:49 pm</v>
      </c>
      <c r="M40" s="10" t="s">
        <v>1</v>
      </c>
    </row>
    <row r="41" spans="1:13" s="21" customFormat="1" x14ac:dyDescent="0.25">
      <c r="A41" s="10" t="s">
        <v>216</v>
      </c>
      <c r="B41" s="19" t="s">
        <v>25</v>
      </c>
      <c r="C41" s="41" t="s">
        <v>766</v>
      </c>
      <c r="D41" s="42" t="s">
        <v>217</v>
      </c>
      <c r="E41" s="14" t="s">
        <v>206</v>
      </c>
      <c r="F41" s="14" t="s">
        <v>218</v>
      </c>
      <c r="G41" s="14" t="s">
        <v>219</v>
      </c>
      <c r="H41" s="14" t="s">
        <v>30</v>
      </c>
      <c r="I41" s="4" t="s">
        <v>208</v>
      </c>
      <c r="J41" s="14" t="s">
        <v>793</v>
      </c>
      <c r="K41" s="14" t="s">
        <v>31</v>
      </c>
      <c r="L41" s="20" t="str">
        <f t="shared" si="1"/>
        <v>Pass : 30/10/2025 3:12:49 pm</v>
      </c>
      <c r="M41" s="14" t="s">
        <v>1</v>
      </c>
    </row>
    <row r="42" spans="1:13" x14ac:dyDescent="0.25">
      <c r="A42" s="10" t="s">
        <v>220</v>
      </c>
      <c r="B42" s="11" t="s">
        <v>25</v>
      </c>
      <c r="C42" s="41" t="s">
        <v>221</v>
      </c>
      <c r="D42" s="42" t="s">
        <v>222</v>
      </c>
      <c r="E42" s="10">
        <v>4</v>
      </c>
      <c r="F42" s="10" t="s">
        <v>223</v>
      </c>
      <c r="G42" s="10" t="s">
        <v>10</v>
      </c>
      <c r="H42" s="10" t="s">
        <v>30</v>
      </c>
      <c r="I42" s="4" t="s">
        <v>224</v>
      </c>
      <c r="J42" s="13" t="s">
        <v>715</v>
      </c>
      <c r="K42" s="14" t="s">
        <v>31</v>
      </c>
      <c r="L42" s="12" t="str">
        <f t="shared" si="1"/>
        <v>Pass : 28/10/2025 3:05:36 pm</v>
      </c>
      <c r="M42" s="10" t="s">
        <v>8</v>
      </c>
    </row>
    <row r="43" spans="1:13" x14ac:dyDescent="0.25">
      <c r="A43" s="10" t="s">
        <v>225</v>
      </c>
      <c r="B43" s="11" t="s">
        <v>25</v>
      </c>
      <c r="C43" s="41" t="s">
        <v>226</v>
      </c>
      <c r="D43" s="42" t="s">
        <v>227</v>
      </c>
      <c r="E43" s="10" t="s">
        <v>228</v>
      </c>
      <c r="F43" s="10" t="s">
        <v>229</v>
      </c>
      <c r="G43" s="10" t="s">
        <v>230</v>
      </c>
      <c r="H43" s="10" t="s">
        <v>30</v>
      </c>
      <c r="I43" s="4" t="s">
        <v>231</v>
      </c>
      <c r="J43" s="10" t="s">
        <v>716</v>
      </c>
      <c r="K43" s="14" t="s">
        <v>31</v>
      </c>
      <c r="L43" s="12" t="str">
        <f t="shared" si="1"/>
        <v>Pass : 28/10/2025 3:05:38 pm</v>
      </c>
      <c r="M43" s="10" t="s">
        <v>9</v>
      </c>
    </row>
    <row r="44" spans="1:13" x14ac:dyDescent="0.25">
      <c r="A44" s="10" t="s">
        <v>232</v>
      </c>
      <c r="B44" s="11" t="s">
        <v>25</v>
      </c>
      <c r="C44" s="41" t="s">
        <v>233</v>
      </c>
      <c r="D44" s="42" t="s">
        <v>227</v>
      </c>
      <c r="E44" s="10" t="s">
        <v>234</v>
      </c>
      <c r="F44" s="10" t="s">
        <v>235</v>
      </c>
      <c r="G44" s="10" t="s">
        <v>236</v>
      </c>
      <c r="H44" s="10" t="s">
        <v>30</v>
      </c>
      <c r="I44" s="4" t="s">
        <v>177</v>
      </c>
      <c r="J44" s="10" t="s">
        <v>717</v>
      </c>
      <c r="K44" s="14" t="s">
        <v>31</v>
      </c>
      <c r="L44" s="12" t="str">
        <f t="shared" si="1"/>
        <v>Pass : 28/10/2025 3:05:39 pm</v>
      </c>
      <c r="M44" s="17" t="s">
        <v>2</v>
      </c>
    </row>
    <row r="45" spans="1:13" x14ac:dyDescent="0.25">
      <c r="A45" s="10" t="s">
        <v>237</v>
      </c>
      <c r="B45" s="11" t="s">
        <v>25</v>
      </c>
      <c r="C45" s="41" t="s">
        <v>238</v>
      </c>
      <c r="D45" s="42" t="s">
        <v>239</v>
      </c>
      <c r="E45" s="10" t="s">
        <v>240</v>
      </c>
      <c r="F45" s="10" t="s">
        <v>241</v>
      </c>
      <c r="G45" s="10" t="s">
        <v>242</v>
      </c>
      <c r="H45" s="10" t="s">
        <v>30</v>
      </c>
      <c r="I45" s="4" t="s">
        <v>243</v>
      </c>
      <c r="J45" s="10" t="s">
        <v>718</v>
      </c>
      <c r="K45" s="14" t="s">
        <v>31</v>
      </c>
      <c r="L45" s="12" t="str">
        <f t="shared" si="1"/>
        <v>Pass : 28/10/2025 3:05:40 pm</v>
      </c>
      <c r="M45" s="10" t="s">
        <v>10</v>
      </c>
    </row>
    <row r="46" spans="1:13" ht="30" x14ac:dyDescent="0.25">
      <c r="A46" s="10" t="s">
        <v>244</v>
      </c>
      <c r="B46" s="11" t="s">
        <v>25</v>
      </c>
      <c r="C46" s="41" t="s">
        <v>245</v>
      </c>
      <c r="D46" s="42" t="s">
        <v>246</v>
      </c>
      <c r="E46" s="10" t="s">
        <v>28</v>
      </c>
      <c r="F46" s="10" t="s">
        <v>247</v>
      </c>
      <c r="G46" s="10" t="s">
        <v>248</v>
      </c>
      <c r="H46" s="10" t="s">
        <v>30</v>
      </c>
      <c r="I46" s="4" t="s">
        <v>249</v>
      </c>
      <c r="J46" s="10" t="s">
        <v>718</v>
      </c>
      <c r="K46" s="14" t="s">
        <v>31</v>
      </c>
      <c r="L46" s="12" t="str">
        <f t="shared" si="1"/>
        <v>Pass : 28/10/2025 3:05:40 pm</v>
      </c>
      <c r="M46" s="10" t="s">
        <v>1</v>
      </c>
    </row>
    <row r="47" spans="1:13" s="21" customFormat="1" x14ac:dyDescent="0.25">
      <c r="A47" s="10" t="s">
        <v>250</v>
      </c>
      <c r="B47" s="19" t="s">
        <v>25</v>
      </c>
      <c r="C47" s="41" t="s">
        <v>251</v>
      </c>
      <c r="D47" s="42" t="s">
        <v>252</v>
      </c>
      <c r="E47" s="14" t="s">
        <v>253</v>
      </c>
      <c r="F47" s="14" t="s">
        <v>254</v>
      </c>
      <c r="G47" s="14" t="s">
        <v>255</v>
      </c>
      <c r="H47" s="14" t="s">
        <v>30</v>
      </c>
      <c r="I47" s="4" t="s">
        <v>256</v>
      </c>
      <c r="J47" s="14" t="s">
        <v>719</v>
      </c>
      <c r="K47" s="14" t="s">
        <v>31</v>
      </c>
      <c r="L47" s="20" t="str">
        <f t="shared" si="1"/>
        <v>Pass : 28/10/2025 3:05:42 pm</v>
      </c>
      <c r="M47" s="14" t="s">
        <v>230</v>
      </c>
    </row>
    <row r="48" spans="1:13" ht="45" x14ac:dyDescent="0.25">
      <c r="A48" s="10" t="s">
        <v>257</v>
      </c>
      <c r="B48" s="11" t="s">
        <v>25</v>
      </c>
      <c r="C48" s="41" t="s">
        <v>258</v>
      </c>
      <c r="D48" s="42" t="s">
        <v>767</v>
      </c>
      <c r="E48" s="10" t="s">
        <v>28</v>
      </c>
      <c r="F48" s="10" t="s">
        <v>259</v>
      </c>
      <c r="G48" s="10" t="s">
        <v>260</v>
      </c>
      <c r="H48" s="10" t="s">
        <v>30</v>
      </c>
      <c r="I48" s="4" t="s">
        <v>117</v>
      </c>
      <c r="J48" s="10" t="s">
        <v>719</v>
      </c>
      <c r="K48" s="14" t="s">
        <v>31</v>
      </c>
      <c r="L48" s="12" t="str">
        <f t="shared" si="1"/>
        <v>Pass : 28/10/2025 3:05:42 pm</v>
      </c>
      <c r="M48" s="10" t="s">
        <v>1</v>
      </c>
    </row>
    <row r="49" spans="1:13" ht="30" x14ac:dyDescent="0.25">
      <c r="A49" s="10" t="s">
        <v>261</v>
      </c>
      <c r="B49" s="11" t="s">
        <v>25</v>
      </c>
      <c r="C49" s="41" t="s">
        <v>262</v>
      </c>
      <c r="D49" s="42" t="s">
        <v>263</v>
      </c>
      <c r="E49" s="10" t="s">
        <v>28</v>
      </c>
      <c r="F49" s="10" t="s">
        <v>264</v>
      </c>
      <c r="G49" s="10" t="s">
        <v>265</v>
      </c>
      <c r="H49" s="10" t="s">
        <v>30</v>
      </c>
      <c r="I49" s="4" t="s">
        <v>720</v>
      </c>
      <c r="J49" s="10" t="s">
        <v>719</v>
      </c>
      <c r="K49" s="14" t="s">
        <v>31</v>
      </c>
      <c r="L49" s="12" t="str">
        <f t="shared" si="1"/>
        <v>Pass : 28/10/2025 3:05:42 pm</v>
      </c>
      <c r="M49" s="10" t="s">
        <v>1</v>
      </c>
    </row>
    <row r="50" spans="1:13" x14ac:dyDescent="0.25">
      <c r="A50" s="10" t="s">
        <v>266</v>
      </c>
      <c r="B50" s="11" t="s">
        <v>25</v>
      </c>
      <c r="C50" s="41" t="s">
        <v>267</v>
      </c>
      <c r="D50" s="42" t="s">
        <v>268</v>
      </c>
      <c r="E50" s="10" t="s">
        <v>28</v>
      </c>
      <c r="F50" s="10" t="s">
        <v>269</v>
      </c>
      <c r="G50" s="10" t="s">
        <v>270</v>
      </c>
      <c r="H50" s="10" t="s">
        <v>30</v>
      </c>
      <c r="I50" s="4" t="s">
        <v>720</v>
      </c>
      <c r="J50" s="10" t="s">
        <v>719</v>
      </c>
      <c r="K50" s="14" t="s">
        <v>31</v>
      </c>
      <c r="L50" s="12" t="str">
        <f t="shared" si="1"/>
        <v>Pass : 28/10/2025 3:05:42 pm</v>
      </c>
      <c r="M50" s="10" t="s">
        <v>1</v>
      </c>
    </row>
    <row r="51" spans="1:13" ht="30" x14ac:dyDescent="0.25">
      <c r="A51" s="10" t="s">
        <v>271</v>
      </c>
      <c r="B51" s="11" t="s">
        <v>25</v>
      </c>
      <c r="C51" s="41" t="s">
        <v>272</v>
      </c>
      <c r="D51" s="42" t="s">
        <v>273</v>
      </c>
      <c r="E51" s="10" t="s">
        <v>28</v>
      </c>
      <c r="F51" s="10" t="s">
        <v>274</v>
      </c>
      <c r="G51" s="10" t="s">
        <v>275</v>
      </c>
      <c r="H51" s="10" t="s">
        <v>30</v>
      </c>
      <c r="I51" s="4" t="s">
        <v>693</v>
      </c>
      <c r="J51" s="10" t="s">
        <v>719</v>
      </c>
      <c r="K51" s="14" t="s">
        <v>31</v>
      </c>
      <c r="L51" s="12" t="str">
        <f t="shared" si="1"/>
        <v>Pass : 28/10/2025 3:05:42 pm</v>
      </c>
      <c r="M51" s="10" t="s">
        <v>1</v>
      </c>
    </row>
    <row r="52" spans="1:13" x14ac:dyDescent="0.25">
      <c r="A52" s="10" t="s">
        <v>276</v>
      </c>
      <c r="B52" s="11" t="s">
        <v>25</v>
      </c>
      <c r="C52" s="41" t="s">
        <v>277</v>
      </c>
      <c r="D52" s="42" t="s">
        <v>205</v>
      </c>
      <c r="E52" s="10" t="s">
        <v>278</v>
      </c>
      <c r="F52" s="10" t="s">
        <v>279</v>
      </c>
      <c r="G52" s="10" t="s">
        <v>280</v>
      </c>
      <c r="H52" s="10" t="s">
        <v>30</v>
      </c>
      <c r="I52" s="4" t="s">
        <v>281</v>
      </c>
      <c r="J52" s="10" t="s">
        <v>721</v>
      </c>
      <c r="K52" s="14" t="s">
        <v>31</v>
      </c>
      <c r="L52" s="12" t="str">
        <f t="shared" si="1"/>
        <v>Pass : 28/10/2025 3:05:44 pm</v>
      </c>
      <c r="M52" s="10" t="s">
        <v>1</v>
      </c>
    </row>
    <row r="53" spans="1:13" ht="30" x14ac:dyDescent="0.25">
      <c r="A53" s="10" t="s">
        <v>282</v>
      </c>
      <c r="B53" s="11" t="s">
        <v>25</v>
      </c>
      <c r="C53" s="41" t="s">
        <v>753</v>
      </c>
      <c r="D53" s="42" t="s">
        <v>205</v>
      </c>
      <c r="E53" s="10" t="s">
        <v>283</v>
      </c>
      <c r="F53" s="10" t="s">
        <v>284</v>
      </c>
      <c r="G53" s="10" t="s">
        <v>285</v>
      </c>
      <c r="H53" s="10" t="s">
        <v>30</v>
      </c>
      <c r="I53" s="4" t="s">
        <v>286</v>
      </c>
      <c r="J53" s="10" t="s">
        <v>722</v>
      </c>
      <c r="K53" s="14" t="s">
        <v>31</v>
      </c>
      <c r="L53" s="12" t="str">
        <f t="shared" si="1"/>
        <v>Pass : 28/10/2025 3:05:45 pm</v>
      </c>
      <c r="M53" s="10" t="s">
        <v>1</v>
      </c>
    </row>
    <row r="54" spans="1:13" ht="30" x14ac:dyDescent="0.25">
      <c r="A54" s="10" t="s">
        <v>287</v>
      </c>
      <c r="B54" s="11" t="s">
        <v>25</v>
      </c>
      <c r="C54" s="41" t="s">
        <v>288</v>
      </c>
      <c r="D54" s="42" t="s">
        <v>289</v>
      </c>
      <c r="E54" s="10" t="s">
        <v>28</v>
      </c>
      <c r="F54" s="10" t="s">
        <v>290</v>
      </c>
      <c r="G54" s="10" t="s">
        <v>291</v>
      </c>
      <c r="H54" s="10" t="s">
        <v>30</v>
      </c>
      <c r="I54" s="4" t="s">
        <v>292</v>
      </c>
      <c r="J54" s="10" t="s">
        <v>722</v>
      </c>
      <c r="K54" s="14" t="s">
        <v>31</v>
      </c>
      <c r="L54" s="12" t="str">
        <f t="shared" si="1"/>
        <v>Pass : 28/10/2025 3:05:45 pm</v>
      </c>
      <c r="M54" s="10" t="s">
        <v>1</v>
      </c>
    </row>
    <row r="55" spans="1:13" ht="30" x14ac:dyDescent="0.25">
      <c r="A55" s="10" t="s">
        <v>293</v>
      </c>
      <c r="B55" s="11" t="s">
        <v>25</v>
      </c>
      <c r="C55" s="46" t="s">
        <v>294</v>
      </c>
      <c r="D55" s="47" t="s">
        <v>295</v>
      </c>
      <c r="E55" s="10" t="s">
        <v>28</v>
      </c>
      <c r="F55" s="10" t="s">
        <v>296</v>
      </c>
      <c r="G55" s="10" t="s">
        <v>240</v>
      </c>
      <c r="H55" s="10" t="s">
        <v>30</v>
      </c>
      <c r="I55" s="4" t="s">
        <v>243</v>
      </c>
      <c r="J55" s="10" t="s">
        <v>723</v>
      </c>
      <c r="K55" s="14" t="s">
        <v>31</v>
      </c>
      <c r="L55" s="12" t="str">
        <f t="shared" si="1"/>
        <v>Pass : 28/10/2025 3:05:46 pm</v>
      </c>
      <c r="M55" s="10" t="s">
        <v>1</v>
      </c>
    </row>
    <row r="56" spans="1:13" ht="45" x14ac:dyDescent="0.25">
      <c r="A56" s="10" t="s">
        <v>297</v>
      </c>
      <c r="B56" s="11" t="s">
        <v>25</v>
      </c>
      <c r="C56" s="46" t="s">
        <v>298</v>
      </c>
      <c r="D56" s="42" t="s">
        <v>299</v>
      </c>
      <c r="E56" s="10" t="s">
        <v>28</v>
      </c>
      <c r="F56" s="10" t="s">
        <v>300</v>
      </c>
      <c r="G56" s="10" t="s">
        <v>41</v>
      </c>
      <c r="H56" s="10" t="s">
        <v>30</v>
      </c>
      <c r="I56" s="4" t="s">
        <v>42</v>
      </c>
      <c r="J56" s="10" t="s">
        <v>724</v>
      </c>
      <c r="K56" s="14" t="s">
        <v>31</v>
      </c>
      <c r="L56" s="12" t="str">
        <f t="shared" si="1"/>
        <v>Pass : 28/10/2025 3:05:48 pm</v>
      </c>
      <c r="M56" s="10" t="s">
        <v>1</v>
      </c>
    </row>
    <row r="57" spans="1:13" s="21" customFormat="1" ht="30" x14ac:dyDescent="0.25">
      <c r="A57" s="10" t="s">
        <v>301</v>
      </c>
      <c r="B57" s="19" t="s">
        <v>25</v>
      </c>
      <c r="C57" s="48" t="s">
        <v>302</v>
      </c>
      <c r="D57" s="49" t="s">
        <v>303</v>
      </c>
      <c r="E57" s="14" t="s">
        <v>28</v>
      </c>
      <c r="F57" s="14" t="s">
        <v>304</v>
      </c>
      <c r="G57" s="14" t="s">
        <v>305</v>
      </c>
      <c r="H57" s="14" t="s">
        <v>30</v>
      </c>
      <c r="I57" s="4" t="s">
        <v>694</v>
      </c>
      <c r="J57" s="14" t="s">
        <v>724</v>
      </c>
      <c r="K57" s="14" t="s">
        <v>31</v>
      </c>
      <c r="L57" s="20" t="str">
        <f t="shared" si="1"/>
        <v>Pass : 28/10/2025 3:05:48 pm</v>
      </c>
      <c r="M57" s="14" t="s">
        <v>1</v>
      </c>
    </row>
    <row r="58" spans="1:13" s="21" customFormat="1" ht="30" x14ac:dyDescent="0.25">
      <c r="A58" s="10" t="s">
        <v>306</v>
      </c>
      <c r="B58" s="19" t="s">
        <v>25</v>
      </c>
      <c r="C58" s="48" t="s">
        <v>307</v>
      </c>
      <c r="D58" s="49" t="s">
        <v>308</v>
      </c>
      <c r="E58" s="14" t="s">
        <v>28</v>
      </c>
      <c r="F58" s="14" t="s">
        <v>309</v>
      </c>
      <c r="G58" s="14" t="s">
        <v>310</v>
      </c>
      <c r="H58" s="14" t="s">
        <v>30</v>
      </c>
      <c r="I58" s="4" t="s">
        <v>311</v>
      </c>
      <c r="J58" s="14" t="s">
        <v>725</v>
      </c>
      <c r="K58" s="14" t="s">
        <v>31</v>
      </c>
      <c r="L58" s="20" t="str">
        <f t="shared" si="1"/>
        <v>Pass : 28/10/2025 3:05:49 pm</v>
      </c>
      <c r="M58" s="14" t="s">
        <v>1</v>
      </c>
    </row>
    <row r="59" spans="1:13" ht="30" x14ac:dyDescent="0.25">
      <c r="A59" s="10" t="s">
        <v>312</v>
      </c>
      <c r="B59" s="11" t="s">
        <v>25</v>
      </c>
      <c r="C59" s="48" t="s">
        <v>313</v>
      </c>
      <c r="D59" s="42" t="s">
        <v>314</v>
      </c>
      <c r="E59" s="10" t="s">
        <v>81</v>
      </c>
      <c r="F59" s="10" t="s">
        <v>82</v>
      </c>
      <c r="G59" s="10" t="s">
        <v>315</v>
      </c>
      <c r="H59" s="10" t="s">
        <v>30</v>
      </c>
      <c r="I59" s="4" t="s">
        <v>83</v>
      </c>
      <c r="J59" s="10" t="s">
        <v>726</v>
      </c>
      <c r="K59" s="10" t="s">
        <v>31</v>
      </c>
      <c r="L59" s="20" t="str">
        <f t="shared" si="1"/>
        <v>Pass : 28/10/2025 3:05:50 pm</v>
      </c>
      <c r="M59" s="10" t="s">
        <v>236</v>
      </c>
    </row>
    <row r="60" spans="1:13" ht="30" x14ac:dyDescent="0.25">
      <c r="A60" s="10" t="s">
        <v>316</v>
      </c>
      <c r="B60" s="11" t="s">
        <v>25</v>
      </c>
      <c r="C60" s="46" t="s">
        <v>317</v>
      </c>
      <c r="D60" s="50" t="s">
        <v>318</v>
      </c>
      <c r="E60" s="10" t="s">
        <v>319</v>
      </c>
      <c r="F60" s="10" t="s">
        <v>196</v>
      </c>
      <c r="G60" s="10" t="s">
        <v>88</v>
      </c>
      <c r="H60" s="10" t="s">
        <v>30</v>
      </c>
      <c r="I60" s="4" t="s">
        <v>320</v>
      </c>
      <c r="J60" s="10" t="s">
        <v>727</v>
      </c>
      <c r="K60" s="14" t="s">
        <v>31</v>
      </c>
      <c r="L60" s="12" t="str">
        <f t="shared" si="1"/>
        <v>Pass : 28/10/2025 3:05:52 pm</v>
      </c>
      <c r="M60" s="10" t="s">
        <v>5</v>
      </c>
    </row>
    <row r="61" spans="1:13" ht="30" x14ac:dyDescent="0.25">
      <c r="A61" s="10" t="s">
        <v>321</v>
      </c>
      <c r="B61" s="11" t="s">
        <v>25</v>
      </c>
      <c r="C61" s="46" t="s">
        <v>322</v>
      </c>
      <c r="D61" s="50" t="s">
        <v>323</v>
      </c>
      <c r="E61" s="10" t="s">
        <v>324</v>
      </c>
      <c r="F61" s="10" t="s">
        <v>201</v>
      </c>
      <c r="G61" s="10" t="s">
        <v>92</v>
      </c>
      <c r="H61" s="10" t="s">
        <v>30</v>
      </c>
      <c r="I61" s="4" t="s">
        <v>325</v>
      </c>
      <c r="J61" s="10" t="s">
        <v>728</v>
      </c>
      <c r="K61" s="14" t="s">
        <v>31</v>
      </c>
      <c r="L61" s="12" t="str">
        <f t="shared" si="1"/>
        <v>Pass : 28/10/2025 3:05:53 pm</v>
      </c>
      <c r="M61" s="10" t="s">
        <v>2</v>
      </c>
    </row>
    <row r="62" spans="1:13" ht="30" x14ac:dyDescent="0.25">
      <c r="A62" s="10" t="s">
        <v>326</v>
      </c>
      <c r="B62" s="11" t="s">
        <v>25</v>
      </c>
      <c r="C62" s="46" t="s">
        <v>327</v>
      </c>
      <c r="D62" s="50" t="s">
        <v>328</v>
      </c>
      <c r="E62" s="10" t="s">
        <v>329</v>
      </c>
      <c r="F62" s="10" t="s">
        <v>207</v>
      </c>
      <c r="G62" s="10" t="s">
        <v>204</v>
      </c>
      <c r="H62" s="10" t="s">
        <v>30</v>
      </c>
      <c r="I62" s="4" t="s">
        <v>330</v>
      </c>
      <c r="J62" s="10" t="s">
        <v>729</v>
      </c>
      <c r="K62" s="14" t="s">
        <v>31</v>
      </c>
      <c r="L62" s="12" t="str">
        <f t="shared" si="1"/>
        <v>Pass : 28/10/2025 3:05:55 pm</v>
      </c>
      <c r="M62" s="10" t="s">
        <v>3</v>
      </c>
    </row>
    <row r="63" spans="1:13" x14ac:dyDescent="0.25">
      <c r="A63" s="10" t="s">
        <v>331</v>
      </c>
      <c r="B63" s="11" t="s">
        <v>25</v>
      </c>
      <c r="C63" s="41" t="s">
        <v>743</v>
      </c>
      <c r="D63" s="42" t="s">
        <v>80</v>
      </c>
      <c r="E63" s="10" t="s">
        <v>332</v>
      </c>
      <c r="F63" s="10" t="s">
        <v>82</v>
      </c>
      <c r="G63" s="10" t="s">
        <v>333</v>
      </c>
      <c r="H63" s="10" t="s">
        <v>30</v>
      </c>
      <c r="I63" s="4" t="s">
        <v>334</v>
      </c>
      <c r="J63" s="10" t="s">
        <v>730</v>
      </c>
      <c r="K63" s="10" t="s">
        <v>31</v>
      </c>
      <c r="L63" s="12" t="str">
        <f t="shared" si="1"/>
        <v>Pass : 28/10/2025 3:05:56 pm</v>
      </c>
      <c r="M63" s="10" t="s">
        <v>242</v>
      </c>
    </row>
    <row r="64" spans="1:13" ht="30" x14ac:dyDescent="0.25">
      <c r="A64" s="10" t="s">
        <v>335</v>
      </c>
      <c r="B64" s="11" t="s">
        <v>25</v>
      </c>
      <c r="C64" s="46" t="s">
        <v>336</v>
      </c>
      <c r="D64" s="50" t="s">
        <v>337</v>
      </c>
      <c r="E64" s="10" t="s">
        <v>195</v>
      </c>
      <c r="F64" s="10" t="s">
        <v>196</v>
      </c>
      <c r="G64" s="10" t="s">
        <v>212</v>
      </c>
      <c r="H64" s="10" t="s">
        <v>30</v>
      </c>
      <c r="I64" s="4" t="s">
        <v>197</v>
      </c>
      <c r="J64" s="10" t="s">
        <v>730</v>
      </c>
      <c r="K64" s="14" t="s">
        <v>31</v>
      </c>
      <c r="L64" s="12" t="str">
        <f t="shared" si="1"/>
        <v>Pass : 28/10/2025 3:05:56 pm</v>
      </c>
      <c r="M64" s="10" t="s">
        <v>2</v>
      </c>
    </row>
    <row r="65" spans="1:13" ht="30" x14ac:dyDescent="0.25">
      <c r="A65" s="10" t="s">
        <v>338</v>
      </c>
      <c r="B65" s="11" t="s">
        <v>25</v>
      </c>
      <c r="C65" s="46" t="s">
        <v>339</v>
      </c>
      <c r="D65" s="50" t="s">
        <v>340</v>
      </c>
      <c r="E65" s="10" t="s">
        <v>200</v>
      </c>
      <c r="F65" s="10" t="s">
        <v>201</v>
      </c>
      <c r="G65" s="10" t="s">
        <v>341</v>
      </c>
      <c r="H65" s="10" t="s">
        <v>30</v>
      </c>
      <c r="I65" s="4" t="s">
        <v>202</v>
      </c>
      <c r="J65" s="10" t="s">
        <v>730</v>
      </c>
      <c r="K65" s="14" t="s">
        <v>31</v>
      </c>
      <c r="L65" s="12" t="str">
        <f t="shared" si="1"/>
        <v>Pass : 28/10/2025 3:05:56 pm</v>
      </c>
      <c r="M65" s="10" t="s">
        <v>1</v>
      </c>
    </row>
    <row r="66" spans="1:13" ht="30" x14ac:dyDescent="0.25">
      <c r="A66" s="10" t="s">
        <v>342</v>
      </c>
      <c r="B66" s="11" t="s">
        <v>25</v>
      </c>
      <c r="C66" s="46" t="s">
        <v>343</v>
      </c>
      <c r="D66" s="50" t="s">
        <v>344</v>
      </c>
      <c r="E66" s="10" t="s">
        <v>206</v>
      </c>
      <c r="F66" s="10" t="s">
        <v>207</v>
      </c>
      <c r="G66" s="10" t="s">
        <v>212</v>
      </c>
      <c r="H66" s="10" t="s">
        <v>30</v>
      </c>
      <c r="I66" s="4" t="s">
        <v>208</v>
      </c>
      <c r="J66" s="10" t="s">
        <v>730</v>
      </c>
      <c r="K66" s="14" t="s">
        <v>31</v>
      </c>
      <c r="L66" s="12" t="str">
        <f t="shared" si="1"/>
        <v>Pass : 28/10/2025 3:05:56 pm</v>
      </c>
      <c r="M66" s="10" t="s">
        <v>3</v>
      </c>
    </row>
    <row r="67" spans="1:13" x14ac:dyDescent="0.25">
      <c r="A67" s="10" t="s">
        <v>345</v>
      </c>
      <c r="B67" s="11" t="s">
        <v>25</v>
      </c>
      <c r="C67" s="41" t="s">
        <v>79</v>
      </c>
      <c r="D67" s="42" t="s">
        <v>80</v>
      </c>
      <c r="E67" s="10" t="s">
        <v>332</v>
      </c>
      <c r="F67" s="10" t="s">
        <v>346</v>
      </c>
      <c r="G67" s="10" t="s">
        <v>347</v>
      </c>
      <c r="H67" s="10" t="s">
        <v>30</v>
      </c>
      <c r="I67" s="4" t="s">
        <v>334</v>
      </c>
      <c r="J67" s="10" t="s">
        <v>731</v>
      </c>
      <c r="K67" s="10" t="str">
        <f>IF(E33="Married","Y",IF(E33="Unmarried","N","N"))</f>
        <v>Y</v>
      </c>
      <c r="L67" s="12" t="str">
        <f t="shared" si="1"/>
        <v>Pass : 28/10/2025 3:05:58 pm</v>
      </c>
      <c r="M67" s="10" t="s">
        <v>255</v>
      </c>
    </row>
    <row r="68" spans="1:13" ht="30" x14ac:dyDescent="0.25">
      <c r="A68" s="10" t="s">
        <v>348</v>
      </c>
      <c r="B68" s="11" t="s">
        <v>25</v>
      </c>
      <c r="C68" s="46" t="s">
        <v>349</v>
      </c>
      <c r="D68" s="50" t="s">
        <v>350</v>
      </c>
      <c r="E68" s="10" t="s">
        <v>351</v>
      </c>
      <c r="F68" s="10" t="s">
        <v>352</v>
      </c>
      <c r="G68" s="10" t="s">
        <v>88</v>
      </c>
      <c r="H68" s="10" t="s">
        <v>30</v>
      </c>
      <c r="I68" s="4" t="s">
        <v>353</v>
      </c>
      <c r="J68" s="10" t="s">
        <v>732</v>
      </c>
      <c r="K68" s="22" t="str">
        <f>IF(E33="Married","Y",IF(E33="Unmarried","N","N"))</f>
        <v>Y</v>
      </c>
      <c r="L68" s="12" t="str">
        <f t="shared" si="1"/>
        <v>Pass : 28/10/2025 3:05:59 pm</v>
      </c>
      <c r="M68" s="10" t="s">
        <v>6</v>
      </c>
    </row>
    <row r="69" spans="1:13" ht="30" x14ac:dyDescent="0.25">
      <c r="A69" s="10" t="s">
        <v>354</v>
      </c>
      <c r="B69" s="11" t="s">
        <v>25</v>
      </c>
      <c r="C69" s="46" t="s">
        <v>355</v>
      </c>
      <c r="D69" s="50" t="s">
        <v>356</v>
      </c>
      <c r="E69" s="10" t="s">
        <v>28</v>
      </c>
      <c r="F69" s="10" t="s">
        <v>357</v>
      </c>
      <c r="G69" s="10" t="s">
        <v>92</v>
      </c>
      <c r="H69" s="10" t="s">
        <v>30</v>
      </c>
      <c r="I69" s="4" t="s">
        <v>358</v>
      </c>
      <c r="J69" s="10" t="s">
        <v>733</v>
      </c>
      <c r="K69" s="10" t="str">
        <f>IF(E33="Married","Y",IF(E33="Unmarried","N","N"))</f>
        <v>Y</v>
      </c>
      <c r="L69" s="12" t="str">
        <f t="shared" si="1"/>
        <v>Pass : 28/10/2025 3:06:01 pm</v>
      </c>
      <c r="M69" s="10" t="s">
        <v>3</v>
      </c>
    </row>
    <row r="70" spans="1:13" s="21" customFormat="1" ht="30" x14ac:dyDescent="0.25">
      <c r="A70" s="10" t="s">
        <v>359</v>
      </c>
      <c r="B70" s="19" t="s">
        <v>25</v>
      </c>
      <c r="C70" s="46" t="s">
        <v>360</v>
      </c>
      <c r="D70" s="50" t="s">
        <v>361</v>
      </c>
      <c r="E70" s="14" t="s">
        <v>362</v>
      </c>
      <c r="F70" s="14" t="s">
        <v>363</v>
      </c>
      <c r="G70" s="14" t="s">
        <v>204</v>
      </c>
      <c r="H70" s="14" t="s">
        <v>30</v>
      </c>
      <c r="I70" s="4" t="s">
        <v>364</v>
      </c>
      <c r="J70" s="14" t="s">
        <v>734</v>
      </c>
      <c r="K70" s="14" t="str">
        <f>IF(E33="Married","Y",IF(E33="Unmarried","N","N"))</f>
        <v>Y</v>
      </c>
      <c r="L70" s="20" t="str">
        <f t="shared" si="1"/>
        <v>Pass : 28/10/2025 3:06:02 pm</v>
      </c>
      <c r="M70" s="14" t="s">
        <v>4</v>
      </c>
    </row>
    <row r="71" spans="1:13" ht="30" x14ac:dyDescent="0.25">
      <c r="A71" s="10" t="s">
        <v>365</v>
      </c>
      <c r="B71" s="11" t="s">
        <v>25</v>
      </c>
      <c r="C71" s="46" t="s">
        <v>366</v>
      </c>
      <c r="D71" s="50" t="s">
        <v>367</v>
      </c>
      <c r="E71" s="10" t="s">
        <v>368</v>
      </c>
      <c r="F71" s="10" t="s">
        <v>369</v>
      </c>
      <c r="G71" s="10" t="str">
        <f>IF(E33="Married","18",IF(E33="Unmarried","17","17"))</f>
        <v>18</v>
      </c>
      <c r="H71" s="10" t="s">
        <v>30</v>
      </c>
      <c r="I71" s="4" t="s">
        <v>370</v>
      </c>
      <c r="J71" s="10" t="s">
        <v>735</v>
      </c>
      <c r="K71" s="10" t="s">
        <v>31</v>
      </c>
      <c r="L71" s="12" t="str">
        <f t="shared" si="1"/>
        <v>Pass : 28/10/2025 3:06:03 pm</v>
      </c>
      <c r="M71" s="10" t="s">
        <v>315</v>
      </c>
    </row>
    <row r="72" spans="1:13" ht="45" x14ac:dyDescent="0.25">
      <c r="A72" s="10" t="s">
        <v>371</v>
      </c>
      <c r="B72" s="11" t="s">
        <v>25</v>
      </c>
      <c r="C72" s="41" t="s">
        <v>768</v>
      </c>
      <c r="D72" s="42" t="s">
        <v>299</v>
      </c>
      <c r="E72" s="10" t="s">
        <v>372</v>
      </c>
      <c r="F72" s="10" t="s">
        <v>373</v>
      </c>
      <c r="G72" s="10" t="s">
        <v>374</v>
      </c>
      <c r="H72" s="10" t="s">
        <v>30</v>
      </c>
      <c r="I72" s="4" t="s">
        <v>375</v>
      </c>
      <c r="J72" s="10" t="s">
        <v>736</v>
      </c>
      <c r="K72" s="14" t="s">
        <v>31</v>
      </c>
      <c r="L72" s="12" t="str">
        <f t="shared" si="1"/>
        <v>Pass : 28/10/2025 3:06:05 pm</v>
      </c>
      <c r="M72" s="10" t="s">
        <v>1</v>
      </c>
    </row>
    <row r="73" spans="1:13" ht="45" x14ac:dyDescent="0.25">
      <c r="A73" s="10" t="s">
        <v>376</v>
      </c>
      <c r="B73" s="11" t="s">
        <v>25</v>
      </c>
      <c r="C73" s="41" t="s">
        <v>768</v>
      </c>
      <c r="D73" s="42" t="s">
        <v>299</v>
      </c>
      <c r="E73" s="10" t="s">
        <v>377</v>
      </c>
      <c r="F73" s="10" t="s">
        <v>378</v>
      </c>
      <c r="G73" s="10" t="s">
        <v>379</v>
      </c>
      <c r="H73" s="10" t="s">
        <v>30</v>
      </c>
      <c r="I73" s="4" t="s">
        <v>380</v>
      </c>
      <c r="J73" s="10" t="s">
        <v>737</v>
      </c>
      <c r="K73" s="14" t="s">
        <v>31</v>
      </c>
      <c r="L73" s="12" t="str">
        <f t="shared" si="1"/>
        <v>Pass : 28/10/2025 3:06:07 pm</v>
      </c>
      <c r="M73" s="10" t="s">
        <v>1</v>
      </c>
    </row>
    <row r="74" spans="1:13" ht="30" x14ac:dyDescent="0.25">
      <c r="A74" s="10" t="s">
        <v>381</v>
      </c>
      <c r="B74" s="11" t="s">
        <v>25</v>
      </c>
      <c r="C74" s="46" t="s">
        <v>382</v>
      </c>
      <c r="D74" s="50" t="s">
        <v>383</v>
      </c>
      <c r="E74" s="10" t="s">
        <v>28</v>
      </c>
      <c r="F74" s="10" t="s">
        <v>384</v>
      </c>
      <c r="G74" s="10" t="s">
        <v>385</v>
      </c>
      <c r="H74" s="10" t="s">
        <v>30</v>
      </c>
      <c r="I74" s="4" t="s">
        <v>386</v>
      </c>
      <c r="J74" s="10" t="s">
        <v>737</v>
      </c>
      <c r="K74" s="14" t="s">
        <v>31</v>
      </c>
      <c r="L74" s="12" t="str">
        <f t="shared" si="1"/>
        <v>Pass : 28/10/2025 3:06:07 pm</v>
      </c>
      <c r="M74" s="10" t="s">
        <v>1</v>
      </c>
    </row>
    <row r="75" spans="1:13" ht="45" x14ac:dyDescent="0.25">
      <c r="A75" s="10" t="s">
        <v>387</v>
      </c>
      <c r="B75" s="11" t="s">
        <v>25</v>
      </c>
      <c r="C75" s="46" t="s">
        <v>388</v>
      </c>
      <c r="D75" s="50" t="s">
        <v>389</v>
      </c>
      <c r="E75" s="10" t="s">
        <v>28</v>
      </c>
      <c r="F75" s="10" t="s">
        <v>390</v>
      </c>
      <c r="G75" s="10" t="s">
        <v>212</v>
      </c>
      <c r="H75" s="10" t="s">
        <v>30</v>
      </c>
      <c r="I75" s="4" t="s">
        <v>391</v>
      </c>
      <c r="J75" s="10" t="s">
        <v>737</v>
      </c>
      <c r="K75" s="14" t="s">
        <v>31</v>
      </c>
      <c r="L75" s="12" t="str">
        <f t="shared" si="1"/>
        <v>Pass : 28/10/2025 3:06:07 pm</v>
      </c>
      <c r="M75" s="10" t="s">
        <v>4</v>
      </c>
    </row>
    <row r="76" spans="1:13" ht="30" x14ac:dyDescent="0.25">
      <c r="A76" s="10" t="s">
        <v>392</v>
      </c>
      <c r="B76" s="11" t="s">
        <v>25</v>
      </c>
      <c r="C76" s="46" t="s">
        <v>393</v>
      </c>
      <c r="D76" s="50" t="s">
        <v>394</v>
      </c>
      <c r="E76" s="10" t="s">
        <v>28</v>
      </c>
      <c r="F76" s="10" t="s">
        <v>395</v>
      </c>
      <c r="G76" s="10" t="s">
        <v>396</v>
      </c>
      <c r="H76" s="10" t="s">
        <v>30</v>
      </c>
      <c r="I76" s="4" t="s">
        <v>693</v>
      </c>
      <c r="J76" s="10" t="s">
        <v>737</v>
      </c>
      <c r="K76" s="14" t="s">
        <v>31</v>
      </c>
      <c r="L76" s="12" t="str">
        <f t="shared" ref="L76:L135" si="2">LEFT(J76,4)</f>
        <v>Pass : 28/10/2025 3:06:07 pm</v>
      </c>
      <c r="M76" s="10" t="s">
        <v>1</v>
      </c>
    </row>
    <row r="77" spans="1:13" ht="30" x14ac:dyDescent="0.25">
      <c r="A77" s="10" t="s">
        <v>397</v>
      </c>
      <c r="B77" s="11" t="s">
        <v>25</v>
      </c>
      <c r="C77" s="46" t="s">
        <v>398</v>
      </c>
      <c r="D77" s="50" t="s">
        <v>399</v>
      </c>
      <c r="E77" s="10" t="s">
        <v>28</v>
      </c>
      <c r="F77" s="10" t="s">
        <v>400</v>
      </c>
      <c r="G77" s="10" t="s">
        <v>401</v>
      </c>
      <c r="H77" s="10" t="s">
        <v>30</v>
      </c>
      <c r="I77" s="4" t="s">
        <v>686</v>
      </c>
      <c r="J77" s="10" t="s">
        <v>737</v>
      </c>
      <c r="K77" s="14" t="s">
        <v>31</v>
      </c>
      <c r="L77" s="12" t="str">
        <f t="shared" si="2"/>
        <v>Pass : 28/10/2025 3:06:07 pm</v>
      </c>
      <c r="M77" s="10" t="s">
        <v>1</v>
      </c>
    </row>
    <row r="78" spans="1:13" ht="30" x14ac:dyDescent="0.25">
      <c r="A78" s="10" t="s">
        <v>402</v>
      </c>
      <c r="B78" s="11" t="s">
        <v>25</v>
      </c>
      <c r="C78" s="46" t="s">
        <v>403</v>
      </c>
      <c r="D78" s="50" t="s">
        <v>404</v>
      </c>
      <c r="E78" s="10" t="s">
        <v>28</v>
      </c>
      <c r="F78" s="10" t="s">
        <v>405</v>
      </c>
      <c r="G78" s="10" t="s">
        <v>406</v>
      </c>
      <c r="H78" s="10" t="s">
        <v>30</v>
      </c>
      <c r="I78" s="4" t="s">
        <v>687</v>
      </c>
      <c r="J78" s="10" t="s">
        <v>737</v>
      </c>
      <c r="K78" s="14" t="s">
        <v>31</v>
      </c>
      <c r="L78" s="12" t="str">
        <f t="shared" si="2"/>
        <v>Pass : 28/10/2025 3:06:07 pm</v>
      </c>
      <c r="M78" s="10" t="s">
        <v>1</v>
      </c>
    </row>
    <row r="79" spans="1:13" ht="30" x14ac:dyDescent="0.25">
      <c r="A79" s="10" t="s">
        <v>407</v>
      </c>
      <c r="B79" s="11" t="s">
        <v>25</v>
      </c>
      <c r="C79" s="46" t="s">
        <v>408</v>
      </c>
      <c r="D79" s="50" t="s">
        <v>409</v>
      </c>
      <c r="E79" s="10" t="s">
        <v>28</v>
      </c>
      <c r="F79" s="10" t="s">
        <v>410</v>
      </c>
      <c r="G79" s="10" t="s">
        <v>411</v>
      </c>
      <c r="H79" s="10" t="s">
        <v>30</v>
      </c>
      <c r="I79" s="4" t="s">
        <v>687</v>
      </c>
      <c r="J79" s="10" t="s">
        <v>738</v>
      </c>
      <c r="K79" s="14" t="s">
        <v>31</v>
      </c>
      <c r="L79" s="12" t="str">
        <f t="shared" si="2"/>
        <v>Pass : 28/10/2025 3:06:08 pm</v>
      </c>
      <c r="M79" s="10" t="s">
        <v>1</v>
      </c>
    </row>
    <row r="80" spans="1:13" x14ac:dyDescent="0.25">
      <c r="A80" s="10" t="s">
        <v>412</v>
      </c>
      <c r="B80" s="11" t="s">
        <v>25</v>
      </c>
      <c r="C80" s="46" t="s">
        <v>413</v>
      </c>
      <c r="D80" s="50" t="s">
        <v>414</v>
      </c>
      <c r="E80" s="10" t="s">
        <v>28</v>
      </c>
      <c r="F80" s="10" t="s">
        <v>415</v>
      </c>
      <c r="G80" s="10" t="s">
        <v>411</v>
      </c>
      <c r="H80" s="10" t="s">
        <v>30</v>
      </c>
      <c r="I80" s="4" t="s">
        <v>145</v>
      </c>
      <c r="J80" s="10" t="s">
        <v>738</v>
      </c>
      <c r="K80" s="14" t="s">
        <v>31</v>
      </c>
      <c r="L80" s="12" t="str">
        <f t="shared" si="2"/>
        <v>Pass : 28/10/2025 3:06:08 pm</v>
      </c>
      <c r="M80" s="10" t="s">
        <v>2</v>
      </c>
    </row>
    <row r="81" spans="1:13" x14ac:dyDescent="0.25">
      <c r="A81" s="10" t="s">
        <v>416</v>
      </c>
      <c r="B81" s="11" t="s">
        <v>25</v>
      </c>
      <c r="C81" s="46" t="s">
        <v>417</v>
      </c>
      <c r="D81" s="50" t="s">
        <v>418</v>
      </c>
      <c r="E81" s="10" t="s">
        <v>28</v>
      </c>
      <c r="F81" s="10" t="s">
        <v>419</v>
      </c>
      <c r="G81" s="10" t="s">
        <v>420</v>
      </c>
      <c r="H81" s="10" t="s">
        <v>30</v>
      </c>
      <c r="I81" s="4" t="s">
        <v>695</v>
      </c>
      <c r="J81" s="10" t="s">
        <v>738</v>
      </c>
      <c r="K81" s="14" t="s">
        <v>31</v>
      </c>
      <c r="L81" s="12" t="str">
        <f t="shared" si="2"/>
        <v>Pass : 28/10/2025 3:06:08 pm</v>
      </c>
      <c r="M81" s="10" t="s">
        <v>1</v>
      </c>
    </row>
    <row r="82" spans="1:13" s="21" customFormat="1" ht="30" x14ac:dyDescent="0.25">
      <c r="A82" s="10" t="s">
        <v>421</v>
      </c>
      <c r="B82" s="19" t="s">
        <v>25</v>
      </c>
      <c r="C82" s="46" t="s">
        <v>422</v>
      </c>
      <c r="D82" s="50" t="s">
        <v>423</v>
      </c>
      <c r="E82" s="14" t="s">
        <v>28</v>
      </c>
      <c r="F82" s="14" t="s">
        <v>424</v>
      </c>
      <c r="G82" s="14" t="s">
        <v>425</v>
      </c>
      <c r="H82" s="14" t="s">
        <v>30</v>
      </c>
      <c r="I82" s="4" t="s">
        <v>112</v>
      </c>
      <c r="J82" s="14" t="s">
        <v>738</v>
      </c>
      <c r="K82" s="14" t="s">
        <v>31</v>
      </c>
      <c r="L82" s="20" t="str">
        <f t="shared" si="2"/>
        <v>Pass : 28/10/2025 3:06:08 pm</v>
      </c>
      <c r="M82" s="14" t="s">
        <v>1</v>
      </c>
    </row>
    <row r="83" spans="1:13" s="21" customFormat="1" x14ac:dyDescent="0.25">
      <c r="A83" s="10" t="s">
        <v>426</v>
      </c>
      <c r="B83" s="19" t="s">
        <v>25</v>
      </c>
      <c r="C83" s="46" t="s">
        <v>427</v>
      </c>
      <c r="D83" s="50" t="s">
        <v>428</v>
      </c>
      <c r="E83" s="14" t="s">
        <v>28</v>
      </c>
      <c r="F83" s="14" t="s">
        <v>429</v>
      </c>
      <c r="G83" s="14" t="s">
        <v>425</v>
      </c>
      <c r="H83" s="14" t="s">
        <v>30</v>
      </c>
      <c r="I83" s="4" t="s">
        <v>160</v>
      </c>
      <c r="J83" s="14" t="s">
        <v>738</v>
      </c>
      <c r="K83" s="14" t="s">
        <v>31</v>
      </c>
      <c r="L83" s="20" t="str">
        <f t="shared" si="2"/>
        <v>Pass : 28/10/2025 3:06:08 pm</v>
      </c>
      <c r="M83" s="14" t="s">
        <v>2</v>
      </c>
    </row>
    <row r="84" spans="1:13" s="21" customFormat="1" ht="30" x14ac:dyDescent="0.25">
      <c r="A84" s="10" t="s">
        <v>430</v>
      </c>
      <c r="B84" s="19" t="s">
        <v>25</v>
      </c>
      <c r="C84" s="46" t="s">
        <v>431</v>
      </c>
      <c r="D84" s="50" t="s">
        <v>432</v>
      </c>
      <c r="E84" s="14" t="s">
        <v>28</v>
      </c>
      <c r="F84" s="14" t="s">
        <v>433</v>
      </c>
      <c r="G84" s="14" t="s">
        <v>425</v>
      </c>
      <c r="H84" s="14" t="s">
        <v>30</v>
      </c>
      <c r="I84" s="4" t="s">
        <v>112</v>
      </c>
      <c r="J84" s="14" t="s">
        <v>738</v>
      </c>
      <c r="K84" s="14" t="s">
        <v>31</v>
      </c>
      <c r="L84" s="20" t="str">
        <f t="shared" si="2"/>
        <v>Pass : 28/10/2025 3:06:08 pm</v>
      </c>
      <c r="M84" s="14" t="s">
        <v>3</v>
      </c>
    </row>
    <row r="85" spans="1:13" ht="30" x14ac:dyDescent="0.25">
      <c r="A85" s="10" t="s">
        <v>434</v>
      </c>
      <c r="B85" s="11" t="s">
        <v>25</v>
      </c>
      <c r="C85" s="46" t="s">
        <v>435</v>
      </c>
      <c r="D85" s="50" t="s">
        <v>436</v>
      </c>
      <c r="E85" s="10" t="s">
        <v>28</v>
      </c>
      <c r="F85" s="10" t="s">
        <v>437</v>
      </c>
      <c r="G85" s="10" t="s">
        <v>168</v>
      </c>
      <c r="H85" s="10" t="s">
        <v>30</v>
      </c>
      <c r="I85" s="4" t="s">
        <v>172</v>
      </c>
      <c r="J85" s="10" t="s">
        <v>739</v>
      </c>
      <c r="K85" s="14" t="s">
        <v>31</v>
      </c>
      <c r="L85" s="12" t="str">
        <f t="shared" si="2"/>
        <v>Pass : 28/10/2025 3:06:09 pm</v>
      </c>
      <c r="M85" s="10" t="s">
        <v>1</v>
      </c>
    </row>
    <row r="86" spans="1:13" ht="30" x14ac:dyDescent="0.25">
      <c r="A86" s="10" t="s">
        <v>438</v>
      </c>
      <c r="B86" s="11" t="s">
        <v>25</v>
      </c>
      <c r="C86" s="46" t="s">
        <v>439</v>
      </c>
      <c r="D86" s="50" t="s">
        <v>440</v>
      </c>
      <c r="E86" s="10" t="s">
        <v>28</v>
      </c>
      <c r="F86" s="10" t="s">
        <v>441</v>
      </c>
      <c r="G86" s="10" t="s">
        <v>442</v>
      </c>
      <c r="H86" s="10" t="s">
        <v>30</v>
      </c>
      <c r="I86" s="4" t="s">
        <v>177</v>
      </c>
      <c r="J86" s="10" t="s">
        <v>739</v>
      </c>
      <c r="K86" s="14" t="s">
        <v>31</v>
      </c>
      <c r="L86" s="12" t="str">
        <f t="shared" si="2"/>
        <v>Pass : 28/10/2025 3:06:09 pm</v>
      </c>
      <c r="M86" s="10" t="s">
        <v>1</v>
      </c>
    </row>
    <row r="87" spans="1:13" ht="30" x14ac:dyDescent="0.25">
      <c r="A87" s="10" t="s">
        <v>443</v>
      </c>
      <c r="B87" s="11" t="s">
        <v>25</v>
      </c>
      <c r="C87" s="46" t="s">
        <v>444</v>
      </c>
      <c r="D87" s="50" t="s">
        <v>445</v>
      </c>
      <c r="E87" s="10" t="s">
        <v>28</v>
      </c>
      <c r="F87" s="10" t="s">
        <v>446</v>
      </c>
      <c r="G87" s="10" t="s">
        <v>447</v>
      </c>
      <c r="H87" s="10" t="s">
        <v>30</v>
      </c>
      <c r="I87" s="4" t="s">
        <v>720</v>
      </c>
      <c r="J87" s="10" t="s">
        <v>739</v>
      </c>
      <c r="K87" s="14" t="s">
        <v>31</v>
      </c>
      <c r="L87" s="12" t="str">
        <f t="shared" si="2"/>
        <v>Pass : 28/10/2025 3:06:09 pm</v>
      </c>
      <c r="M87" s="10" t="s">
        <v>1</v>
      </c>
    </row>
    <row r="88" spans="1:13" s="21" customFormat="1" ht="30" x14ac:dyDescent="0.25">
      <c r="A88" s="14" t="s">
        <v>448</v>
      </c>
      <c r="B88" s="19" t="s">
        <v>25</v>
      </c>
      <c r="C88" s="51" t="s">
        <v>449</v>
      </c>
      <c r="D88" s="52" t="s">
        <v>450</v>
      </c>
      <c r="E88" s="14" t="s">
        <v>28</v>
      </c>
      <c r="F88" s="14" t="s">
        <v>451</v>
      </c>
      <c r="G88" s="14" t="s">
        <v>452</v>
      </c>
      <c r="H88" s="14" t="s">
        <v>30</v>
      </c>
      <c r="I88" s="4" t="s">
        <v>740</v>
      </c>
      <c r="J88" s="14" t="s">
        <v>739</v>
      </c>
      <c r="K88" s="14" t="s">
        <v>31</v>
      </c>
      <c r="L88" s="20" t="str">
        <f t="shared" si="2"/>
        <v>Pass : 28/10/2025 3:06:09 pm</v>
      </c>
      <c r="M88" s="14" t="s">
        <v>1</v>
      </c>
    </row>
    <row r="89" spans="1:13" s="21" customFormat="1" ht="30" x14ac:dyDescent="0.25">
      <c r="A89" s="10" t="s">
        <v>453</v>
      </c>
      <c r="B89" s="19" t="s">
        <v>25</v>
      </c>
      <c r="C89" s="46" t="s">
        <v>454</v>
      </c>
      <c r="D89" s="47" t="s">
        <v>455</v>
      </c>
      <c r="E89" s="14" t="s">
        <v>28</v>
      </c>
      <c r="F89" s="14" t="s">
        <v>309</v>
      </c>
      <c r="G89" s="14" t="s">
        <v>456</v>
      </c>
      <c r="H89" s="14" t="s">
        <v>30</v>
      </c>
      <c r="I89" s="4" t="s">
        <v>457</v>
      </c>
      <c r="J89" s="14" t="s">
        <v>741</v>
      </c>
      <c r="K89" s="14" t="s">
        <v>31</v>
      </c>
      <c r="L89" s="20" t="str">
        <f t="shared" si="2"/>
        <v>Pass : 28/10/2025 3:06:10 pm</v>
      </c>
      <c r="M89" s="14" t="s">
        <v>1</v>
      </c>
    </row>
    <row r="90" spans="1:13" ht="30" x14ac:dyDescent="0.25">
      <c r="A90" s="10" t="s">
        <v>458</v>
      </c>
      <c r="B90" s="11" t="s">
        <v>25</v>
      </c>
      <c r="C90" s="46" t="s">
        <v>459</v>
      </c>
      <c r="D90" s="47" t="s">
        <v>460</v>
      </c>
      <c r="E90" s="10" t="s">
        <v>41</v>
      </c>
      <c r="F90" s="10" t="s">
        <v>461</v>
      </c>
      <c r="G90" s="10"/>
      <c r="H90" s="10" t="s">
        <v>30</v>
      </c>
      <c r="I90" s="4" t="s">
        <v>358</v>
      </c>
      <c r="J90" s="10" t="s">
        <v>696</v>
      </c>
      <c r="K90" s="14" t="s">
        <v>31</v>
      </c>
      <c r="L90" s="12" t="str">
        <f t="shared" si="2"/>
        <v>Pass</v>
      </c>
      <c r="M90" s="10" t="s">
        <v>1</v>
      </c>
    </row>
    <row r="91" spans="1:13" ht="30" x14ac:dyDescent="0.25">
      <c r="A91" s="10" t="s">
        <v>462</v>
      </c>
      <c r="B91" s="11" t="s">
        <v>25</v>
      </c>
      <c r="C91" s="46" t="s">
        <v>463</v>
      </c>
      <c r="D91" s="47" t="s">
        <v>464</v>
      </c>
      <c r="E91" s="10" t="s">
        <v>465</v>
      </c>
      <c r="F91" s="10" t="s">
        <v>466</v>
      </c>
      <c r="G91" s="10" t="s">
        <v>467</v>
      </c>
      <c r="H91" s="10" t="s">
        <v>30</v>
      </c>
      <c r="I91" s="4" t="s">
        <v>468</v>
      </c>
      <c r="J91" s="10" t="s">
        <v>697</v>
      </c>
      <c r="K91" s="14" t="s">
        <v>31</v>
      </c>
      <c r="L91" s="12" t="str">
        <f t="shared" si="2"/>
        <v>Pass</v>
      </c>
      <c r="M91" s="10" t="s">
        <v>1</v>
      </c>
    </row>
    <row r="92" spans="1:13" ht="30" x14ac:dyDescent="0.25">
      <c r="A92" s="10" t="s">
        <v>469</v>
      </c>
      <c r="B92" s="11" t="s">
        <v>25</v>
      </c>
      <c r="C92" s="46" t="s">
        <v>470</v>
      </c>
      <c r="D92" s="47" t="s">
        <v>471</v>
      </c>
      <c r="E92" s="10" t="s">
        <v>472</v>
      </c>
      <c r="F92" s="10" t="s">
        <v>473</v>
      </c>
      <c r="G92" s="10" t="s">
        <v>474</v>
      </c>
      <c r="H92" s="10" t="s">
        <v>30</v>
      </c>
      <c r="I92" s="4" t="s">
        <v>475</v>
      </c>
      <c r="J92" s="10" t="s">
        <v>698</v>
      </c>
      <c r="K92" s="14" t="s">
        <v>31</v>
      </c>
      <c r="L92" s="12" t="str">
        <f t="shared" si="2"/>
        <v>Pass</v>
      </c>
      <c r="M92" s="10" t="s">
        <v>1</v>
      </c>
    </row>
    <row r="93" spans="1:13" ht="30" x14ac:dyDescent="0.25">
      <c r="A93" s="10" t="s">
        <v>476</v>
      </c>
      <c r="B93" s="11" t="s">
        <v>25</v>
      </c>
      <c r="C93" s="46" t="s">
        <v>477</v>
      </c>
      <c r="D93" s="47" t="s">
        <v>478</v>
      </c>
      <c r="E93" s="10" t="s">
        <v>479</v>
      </c>
      <c r="F93" s="10" t="s">
        <v>480</v>
      </c>
      <c r="G93" s="10" t="s">
        <v>481</v>
      </c>
      <c r="H93" s="10" t="s">
        <v>30</v>
      </c>
      <c r="I93" s="4" t="s">
        <v>482</v>
      </c>
      <c r="J93" s="10" t="s">
        <v>699</v>
      </c>
      <c r="K93" s="14" t="s">
        <v>31</v>
      </c>
      <c r="L93" s="12" t="str">
        <f t="shared" si="2"/>
        <v>Pass</v>
      </c>
      <c r="M93" s="10" t="s">
        <v>1</v>
      </c>
    </row>
    <row r="94" spans="1:13" s="21" customFormat="1" ht="30" x14ac:dyDescent="0.25">
      <c r="A94" s="10" t="s">
        <v>483</v>
      </c>
      <c r="B94" s="19" t="s">
        <v>25</v>
      </c>
      <c r="C94" s="46" t="s">
        <v>484</v>
      </c>
      <c r="D94" s="47" t="s">
        <v>485</v>
      </c>
      <c r="E94" s="14" t="s">
        <v>486</v>
      </c>
      <c r="F94" s="14" t="s">
        <v>487</v>
      </c>
      <c r="G94" s="14" t="str">
        <f>IF(E33="Married","19",IF(E33="Unmarried","18","18"))</f>
        <v>19</v>
      </c>
      <c r="H94" s="14" t="s">
        <v>30</v>
      </c>
      <c r="I94" s="4" t="s">
        <v>488</v>
      </c>
      <c r="J94" s="14" t="s">
        <v>700</v>
      </c>
      <c r="K94" s="14" t="s">
        <v>31</v>
      </c>
      <c r="L94" s="20" t="str">
        <f t="shared" si="2"/>
        <v>Pass</v>
      </c>
      <c r="M94" s="14" t="s">
        <v>333</v>
      </c>
    </row>
    <row r="95" spans="1:13" ht="30" x14ac:dyDescent="0.25">
      <c r="A95" s="10" t="s">
        <v>489</v>
      </c>
      <c r="B95" s="11" t="s">
        <v>25</v>
      </c>
      <c r="C95" s="46" t="s">
        <v>490</v>
      </c>
      <c r="D95" s="47" t="s">
        <v>491</v>
      </c>
      <c r="E95" s="10" t="s">
        <v>28</v>
      </c>
      <c r="F95" s="10" t="s">
        <v>492</v>
      </c>
      <c r="G95" s="10" t="s">
        <v>493</v>
      </c>
      <c r="H95" s="10" t="s">
        <v>30</v>
      </c>
      <c r="I95" s="4" t="s">
        <v>701</v>
      </c>
      <c r="J95" s="10" t="s">
        <v>700</v>
      </c>
      <c r="K95" s="14" t="s">
        <v>31</v>
      </c>
      <c r="L95" s="12" t="str">
        <f t="shared" si="2"/>
        <v>Pass</v>
      </c>
      <c r="M95" s="10" t="s">
        <v>1</v>
      </c>
    </row>
    <row r="96" spans="1:13" ht="30" x14ac:dyDescent="0.25">
      <c r="A96" s="10" t="s">
        <v>494</v>
      </c>
      <c r="B96" s="11" t="s">
        <v>25</v>
      </c>
      <c r="C96" s="46" t="s">
        <v>495</v>
      </c>
      <c r="D96" s="47" t="s">
        <v>496</v>
      </c>
      <c r="E96" s="10" t="s">
        <v>28</v>
      </c>
      <c r="F96" s="10" t="s">
        <v>497</v>
      </c>
      <c r="G96" s="10" t="s">
        <v>498</v>
      </c>
      <c r="H96" s="10" t="s">
        <v>30</v>
      </c>
      <c r="I96" s="4" t="s">
        <v>702</v>
      </c>
      <c r="J96" s="10" t="s">
        <v>700</v>
      </c>
      <c r="K96" s="14" t="s">
        <v>31</v>
      </c>
      <c r="L96" s="12" t="str">
        <f>LEFT(J96,4)</f>
        <v>Pass</v>
      </c>
      <c r="M96" s="10" t="s">
        <v>1</v>
      </c>
    </row>
    <row r="97" spans="1:13" ht="45" x14ac:dyDescent="0.25">
      <c r="A97" s="10" t="s">
        <v>499</v>
      </c>
      <c r="B97" s="11" t="s">
        <v>25</v>
      </c>
      <c r="C97" s="46" t="s">
        <v>500</v>
      </c>
      <c r="D97" s="47" t="s">
        <v>501</v>
      </c>
      <c r="E97" s="10" t="s">
        <v>502</v>
      </c>
      <c r="F97" s="10" t="s">
        <v>503</v>
      </c>
      <c r="G97" s="10" t="s">
        <v>504</v>
      </c>
      <c r="H97" s="10" t="s">
        <v>30</v>
      </c>
      <c r="I97" s="4" t="s">
        <v>130</v>
      </c>
      <c r="J97" s="10" t="s">
        <v>505</v>
      </c>
      <c r="K97" s="14" t="s">
        <v>132</v>
      </c>
      <c r="L97" s="12" t="str">
        <f t="shared" si="2"/>
        <v>Fail</v>
      </c>
      <c r="M97" s="10" t="s">
        <v>1</v>
      </c>
    </row>
    <row r="98" spans="1:13" ht="30" x14ac:dyDescent="0.25">
      <c r="A98" s="10" t="s">
        <v>506</v>
      </c>
      <c r="B98" s="11" t="s">
        <v>25</v>
      </c>
      <c r="C98" s="46" t="s">
        <v>507</v>
      </c>
      <c r="D98" s="47" t="s">
        <v>508</v>
      </c>
      <c r="E98" s="10" t="s">
        <v>28</v>
      </c>
      <c r="F98" s="10" t="s">
        <v>509</v>
      </c>
      <c r="G98" s="10" t="s">
        <v>240</v>
      </c>
      <c r="H98" s="10" t="s">
        <v>30</v>
      </c>
      <c r="I98" s="4" t="s">
        <v>243</v>
      </c>
      <c r="J98" s="10" t="s">
        <v>703</v>
      </c>
      <c r="K98" s="14" t="s">
        <v>31</v>
      </c>
      <c r="L98" s="12" t="str">
        <f t="shared" si="2"/>
        <v>Pass</v>
      </c>
      <c r="M98" s="10" t="s">
        <v>3</v>
      </c>
    </row>
    <row r="99" spans="1:13" ht="30" x14ac:dyDescent="0.25">
      <c r="A99" s="10" t="s">
        <v>510</v>
      </c>
      <c r="B99" s="11" t="s">
        <v>25</v>
      </c>
      <c r="C99" s="46" t="s">
        <v>511</v>
      </c>
      <c r="D99" s="47" t="s">
        <v>512</v>
      </c>
      <c r="E99" s="10" t="s">
        <v>28</v>
      </c>
      <c r="F99" s="10" t="s">
        <v>513</v>
      </c>
      <c r="G99" s="10" t="s">
        <v>240</v>
      </c>
      <c r="H99" s="10" t="s">
        <v>30</v>
      </c>
      <c r="I99" s="4" t="s">
        <v>243</v>
      </c>
      <c r="J99" s="10" t="s">
        <v>703</v>
      </c>
      <c r="K99" s="14" t="s">
        <v>31</v>
      </c>
      <c r="L99" s="12" t="str">
        <f>LEFT(J99,4)</f>
        <v>Pass</v>
      </c>
      <c r="M99" s="10" t="s">
        <v>3</v>
      </c>
    </row>
    <row r="100" spans="1:13" s="21" customFormat="1" ht="30" x14ac:dyDescent="0.25">
      <c r="A100" s="10" t="s">
        <v>514</v>
      </c>
      <c r="B100" s="19" t="s">
        <v>25</v>
      </c>
      <c r="C100" s="46" t="s">
        <v>515</v>
      </c>
      <c r="D100" s="47" t="s">
        <v>516</v>
      </c>
      <c r="E100" s="14" t="s">
        <v>28</v>
      </c>
      <c r="F100" s="14" t="s">
        <v>517</v>
      </c>
      <c r="G100" s="14" t="s">
        <v>518</v>
      </c>
      <c r="H100" s="14" t="s">
        <v>30</v>
      </c>
      <c r="I100" s="4" t="s">
        <v>519</v>
      </c>
      <c r="J100" s="14" t="s">
        <v>703</v>
      </c>
      <c r="K100" s="14" t="s">
        <v>31</v>
      </c>
      <c r="L100" s="20" t="str">
        <f>LEFT(J100,         4)</f>
        <v>Pass</v>
      </c>
      <c r="M100" s="10" t="s">
        <v>4</v>
      </c>
    </row>
    <row r="101" spans="1:13" s="21" customFormat="1" ht="30" x14ac:dyDescent="0.25">
      <c r="A101" s="10" t="s">
        <v>520</v>
      </c>
      <c r="B101" s="19" t="s">
        <v>25</v>
      </c>
      <c r="C101" s="46" t="s">
        <v>521</v>
      </c>
      <c r="D101" s="47" t="s">
        <v>522</v>
      </c>
      <c r="E101" s="14" t="s">
        <v>28</v>
      </c>
      <c r="F101" s="14" t="s">
        <v>523</v>
      </c>
      <c r="G101" s="14" t="s">
        <v>524</v>
      </c>
      <c r="H101" s="14" t="s">
        <v>30</v>
      </c>
      <c r="I101" s="4" t="s">
        <v>525</v>
      </c>
      <c r="J101" s="14" t="s">
        <v>704</v>
      </c>
      <c r="K101" s="14" t="s">
        <v>31</v>
      </c>
      <c r="L101" s="20" t="str">
        <f>LEFT(J101,         4)</f>
        <v>Pass</v>
      </c>
      <c r="M101" s="10" t="s">
        <v>5</v>
      </c>
    </row>
    <row r="102" spans="1:13" s="21" customFormat="1" ht="30" x14ac:dyDescent="0.25">
      <c r="A102" s="10" t="s">
        <v>526</v>
      </c>
      <c r="B102" s="19" t="s">
        <v>25</v>
      </c>
      <c r="C102" s="46" t="s">
        <v>527</v>
      </c>
      <c r="D102" s="47" t="s">
        <v>528</v>
      </c>
      <c r="E102" s="14" t="s">
        <v>28</v>
      </c>
      <c r="F102" s="14" t="s">
        <v>59</v>
      </c>
      <c r="G102" s="14"/>
      <c r="H102" s="14" t="s">
        <v>30</v>
      </c>
      <c r="I102" s="4" t="s">
        <v>60</v>
      </c>
      <c r="J102" s="14" t="s">
        <v>705</v>
      </c>
      <c r="K102" s="14" t="s">
        <v>31</v>
      </c>
      <c r="L102" s="20" t="str">
        <f t="shared" ref="L102:L108" si="3">LEFT(J102,         4)</f>
        <v>Pass</v>
      </c>
      <c r="M102" s="14" t="s">
        <v>6</v>
      </c>
    </row>
    <row r="103" spans="1:13" customFormat="1" x14ac:dyDescent="0.25">
      <c r="A103" s="10" t="s">
        <v>529</v>
      </c>
      <c r="B103" s="19" t="s">
        <v>25</v>
      </c>
      <c r="C103" s="53" t="s">
        <v>769</v>
      </c>
      <c r="D103" s="54" t="s">
        <v>58</v>
      </c>
      <c r="E103" s="14" t="s">
        <v>28</v>
      </c>
      <c r="F103" s="14" t="s">
        <v>59</v>
      </c>
      <c r="G103" s="14"/>
      <c r="H103" s="14" t="s">
        <v>30</v>
      </c>
      <c r="I103" s="4" t="s">
        <v>60</v>
      </c>
      <c r="J103" s="23" t="s">
        <v>706</v>
      </c>
      <c r="K103" s="14" t="s">
        <v>31</v>
      </c>
      <c r="L103" s="20" t="str">
        <f t="shared" si="3"/>
        <v>Pass</v>
      </c>
      <c r="M103" s="14" t="s">
        <v>28</v>
      </c>
    </row>
    <row r="104" spans="1:13" customFormat="1" x14ac:dyDescent="0.25">
      <c r="A104" s="10" t="s">
        <v>531</v>
      </c>
      <c r="B104" s="19" t="s">
        <v>25</v>
      </c>
      <c r="C104" s="53" t="s">
        <v>769</v>
      </c>
      <c r="D104" s="54" t="s">
        <v>58</v>
      </c>
      <c r="E104" s="14" t="s">
        <v>28</v>
      </c>
      <c r="F104" s="14" t="s">
        <v>59</v>
      </c>
      <c r="G104" s="14"/>
      <c r="H104" s="14" t="s">
        <v>30</v>
      </c>
      <c r="I104" s="4" t="s">
        <v>60</v>
      </c>
      <c r="J104" s="23" t="s">
        <v>532</v>
      </c>
      <c r="K104" s="14" t="s">
        <v>132</v>
      </c>
      <c r="L104" s="20" t="str">
        <f>LEFT(J104,         4)</f>
        <v>Pass</v>
      </c>
      <c r="M104" s="14" t="s">
        <v>28</v>
      </c>
    </row>
    <row r="105" spans="1:13" customFormat="1" ht="30" x14ac:dyDescent="0.25">
      <c r="A105" s="10" t="s">
        <v>533</v>
      </c>
      <c r="B105" s="19" t="s">
        <v>25</v>
      </c>
      <c r="C105" s="53" t="s">
        <v>770</v>
      </c>
      <c r="D105" s="54" t="s">
        <v>534</v>
      </c>
      <c r="E105" s="14" t="s">
        <v>28</v>
      </c>
      <c r="F105" s="14" t="s">
        <v>535</v>
      </c>
      <c r="G105" s="14" t="s">
        <v>536</v>
      </c>
      <c r="H105" s="14" t="s">
        <v>30</v>
      </c>
      <c r="I105" s="4" t="s">
        <v>712</v>
      </c>
      <c r="J105" s="23" t="s">
        <v>713</v>
      </c>
      <c r="K105" s="14" t="s">
        <v>31</v>
      </c>
      <c r="L105" s="20" t="str">
        <f t="shared" si="3"/>
        <v>Pass</v>
      </c>
      <c r="M105" s="10" t="s">
        <v>28</v>
      </c>
    </row>
    <row r="106" spans="1:13" s="27" customFormat="1" x14ac:dyDescent="0.25">
      <c r="A106" s="10" t="s">
        <v>538</v>
      </c>
      <c r="B106" s="24" t="s">
        <v>25</v>
      </c>
      <c r="C106" s="55" t="s">
        <v>771</v>
      </c>
      <c r="D106" s="56" t="s">
        <v>539</v>
      </c>
      <c r="E106" s="13" t="s">
        <v>28</v>
      </c>
      <c r="F106" s="13" t="s">
        <v>540</v>
      </c>
      <c r="G106" s="13" t="s">
        <v>541</v>
      </c>
      <c r="H106" s="13" t="s">
        <v>30</v>
      </c>
      <c r="I106" s="4" t="s">
        <v>542</v>
      </c>
      <c r="J106" s="25" t="s">
        <v>707</v>
      </c>
      <c r="K106" s="13" t="s">
        <v>31</v>
      </c>
      <c r="L106" s="26" t="str">
        <f t="shared" si="3"/>
        <v>Pass</v>
      </c>
      <c r="M106" s="13" t="s">
        <v>28</v>
      </c>
    </row>
    <row r="107" spans="1:13" ht="30" x14ac:dyDescent="0.25">
      <c r="A107" s="10" t="s">
        <v>543</v>
      </c>
      <c r="B107" s="11" t="s">
        <v>25</v>
      </c>
      <c r="C107" s="45" t="s">
        <v>773</v>
      </c>
      <c r="D107" s="43" t="s">
        <v>63</v>
      </c>
      <c r="E107" s="13" t="s">
        <v>28</v>
      </c>
      <c r="F107" s="10" t="s">
        <v>64</v>
      </c>
      <c r="G107" s="10"/>
      <c r="H107" s="10" t="s">
        <v>30</v>
      </c>
      <c r="I107" s="4" t="s">
        <v>65</v>
      </c>
      <c r="J107" s="10" t="s">
        <v>708</v>
      </c>
      <c r="K107" s="14" t="s">
        <v>31</v>
      </c>
      <c r="L107" s="12" t="str">
        <f t="shared" si="3"/>
        <v>Pass</v>
      </c>
      <c r="M107" s="10" t="s">
        <v>28</v>
      </c>
    </row>
    <row r="108" spans="1:13" ht="30" x14ac:dyDescent="0.25">
      <c r="A108" s="10" t="s">
        <v>544</v>
      </c>
      <c r="B108" s="11" t="s">
        <v>25</v>
      </c>
      <c r="C108" s="44" t="s">
        <v>774</v>
      </c>
      <c r="D108" s="43" t="s">
        <v>545</v>
      </c>
      <c r="E108" s="13" t="s">
        <v>28</v>
      </c>
      <c r="F108" s="10" t="s">
        <v>70</v>
      </c>
      <c r="G108" s="10"/>
      <c r="H108" s="10" t="s">
        <v>30</v>
      </c>
      <c r="I108" s="4" t="s">
        <v>546</v>
      </c>
      <c r="J108" s="10" t="s">
        <v>709</v>
      </c>
      <c r="K108" s="14" t="s">
        <v>31</v>
      </c>
      <c r="L108" s="12" t="str">
        <f t="shared" si="3"/>
        <v>Pass</v>
      </c>
      <c r="M108" s="10" t="s">
        <v>28</v>
      </c>
    </row>
    <row r="109" spans="1:13" s="21" customFormat="1" ht="30" x14ac:dyDescent="0.25">
      <c r="A109" s="14" t="s">
        <v>547</v>
      </c>
      <c r="B109" s="19" t="s">
        <v>25</v>
      </c>
      <c r="C109" s="53" t="s">
        <v>774</v>
      </c>
      <c r="D109" s="54" t="s">
        <v>545</v>
      </c>
      <c r="E109" s="14" t="s">
        <v>28</v>
      </c>
      <c r="F109" s="14" t="s">
        <v>548</v>
      </c>
      <c r="G109" s="14"/>
      <c r="H109" s="14" t="s">
        <v>30</v>
      </c>
      <c r="I109" s="21" t="s">
        <v>549</v>
      </c>
      <c r="J109" s="14" t="s">
        <v>550</v>
      </c>
      <c r="K109" s="14" t="str">
        <f>IF(L108="Pass","N",IF(L108="Fail","Y","N"))</f>
        <v>N</v>
      </c>
      <c r="L109" s="20" t="str">
        <f>LEFT(J109,         4)</f>
        <v>Pass</v>
      </c>
      <c r="M109" s="14" t="s">
        <v>28</v>
      </c>
    </row>
    <row r="110" spans="1:13" ht="45" x14ac:dyDescent="0.25">
      <c r="A110" s="10" t="s">
        <v>551</v>
      </c>
      <c r="B110" s="11" t="s">
        <v>25</v>
      </c>
      <c r="C110" s="41" t="s">
        <v>775</v>
      </c>
      <c r="D110" s="42" t="s">
        <v>552</v>
      </c>
      <c r="E110" s="10" t="s">
        <v>553</v>
      </c>
      <c r="F110" s="10" t="s">
        <v>554</v>
      </c>
      <c r="G110" s="10" t="s">
        <v>555</v>
      </c>
      <c r="H110" s="10" t="s">
        <v>30</v>
      </c>
      <c r="I110" s="4" t="s">
        <v>556</v>
      </c>
      <c r="J110" s="10" t="s">
        <v>710</v>
      </c>
      <c r="K110" s="14" t="s">
        <v>31</v>
      </c>
      <c r="L110" s="12" t="str">
        <f t="shared" si="2"/>
        <v>Pass</v>
      </c>
      <c r="M110" s="10" t="s">
        <v>1</v>
      </c>
    </row>
    <row r="111" spans="1:13" ht="45" x14ac:dyDescent="0.25">
      <c r="A111" s="10" t="s">
        <v>557</v>
      </c>
      <c r="B111" s="11" t="s">
        <v>25</v>
      </c>
      <c r="C111" s="41" t="s">
        <v>776</v>
      </c>
      <c r="D111" s="42" t="s">
        <v>558</v>
      </c>
      <c r="E111" s="10" t="s">
        <v>28</v>
      </c>
      <c r="F111" s="10" t="s">
        <v>59</v>
      </c>
      <c r="G111" s="10"/>
      <c r="H111" s="10" t="s">
        <v>30</v>
      </c>
      <c r="I111" s="4" t="s">
        <v>60</v>
      </c>
      <c r="J111" s="10" t="s">
        <v>711</v>
      </c>
      <c r="K111" s="14" t="s">
        <v>31</v>
      </c>
      <c r="L111" s="12" t="str">
        <f t="shared" si="2"/>
        <v>Pass</v>
      </c>
      <c r="M111" s="10" t="s">
        <v>8</v>
      </c>
    </row>
    <row r="112" spans="1:13" customFormat="1" x14ac:dyDescent="0.25">
      <c r="A112" s="10" t="s">
        <v>533</v>
      </c>
      <c r="B112" s="19" t="s">
        <v>25</v>
      </c>
      <c r="C112" s="53" t="s">
        <v>772</v>
      </c>
      <c r="D112" s="54" t="s">
        <v>534</v>
      </c>
      <c r="E112" s="14" t="s">
        <v>28</v>
      </c>
      <c r="F112" s="14" t="s">
        <v>559</v>
      </c>
      <c r="G112" s="14" t="s">
        <v>28</v>
      </c>
      <c r="H112" s="19" t="s">
        <v>30</v>
      </c>
      <c r="I112" s="28" t="s">
        <v>537</v>
      </c>
      <c r="J112" s="23" t="s">
        <v>530</v>
      </c>
      <c r="K112" s="14" t="s">
        <v>31</v>
      </c>
      <c r="L112" s="20" t="str">
        <f>LEFT(J112,         4)</f>
        <v>Pass</v>
      </c>
      <c r="M112" s="10" t="s">
        <v>28</v>
      </c>
    </row>
    <row r="113" spans="1:13" ht="45" x14ac:dyDescent="0.25">
      <c r="A113" s="10" t="s">
        <v>560</v>
      </c>
      <c r="B113" s="11" t="s">
        <v>25</v>
      </c>
      <c r="C113" s="41" t="s">
        <v>777</v>
      </c>
      <c r="D113" s="42" t="s">
        <v>561</v>
      </c>
      <c r="E113" s="10" t="s">
        <v>562</v>
      </c>
      <c r="F113" s="10" t="s">
        <v>563</v>
      </c>
      <c r="G113" s="10" t="s">
        <v>28</v>
      </c>
      <c r="H113" s="10" t="s">
        <v>30</v>
      </c>
      <c r="I113" s="4" t="s">
        <v>130</v>
      </c>
      <c r="J113" s="10" t="s">
        <v>564</v>
      </c>
      <c r="K113" s="14" t="s">
        <v>132</v>
      </c>
      <c r="L113" s="12" t="str">
        <f t="shared" si="2"/>
        <v>Fail</v>
      </c>
      <c r="M113" s="10" t="s">
        <v>9</v>
      </c>
    </row>
    <row r="114" spans="1:13" ht="45" x14ac:dyDescent="0.25">
      <c r="A114" s="10" t="s">
        <v>565</v>
      </c>
      <c r="B114" s="11" t="s">
        <v>25</v>
      </c>
      <c r="C114" s="41" t="s">
        <v>778</v>
      </c>
      <c r="D114" s="42" t="s">
        <v>566</v>
      </c>
      <c r="E114" s="10" t="s">
        <v>28</v>
      </c>
      <c r="F114" s="10" t="s">
        <v>567</v>
      </c>
      <c r="G114" s="10"/>
      <c r="H114" s="10" t="s">
        <v>30</v>
      </c>
      <c r="I114" s="4" t="s">
        <v>130</v>
      </c>
      <c r="J114" s="10" t="s">
        <v>568</v>
      </c>
      <c r="K114" s="14" t="s">
        <v>132</v>
      </c>
      <c r="L114" s="12" t="str">
        <f t="shared" si="2"/>
        <v>Fail</v>
      </c>
      <c r="M114" s="10" t="s">
        <v>10</v>
      </c>
    </row>
    <row r="115" spans="1:13" ht="45" x14ac:dyDescent="0.25">
      <c r="A115" s="10" t="s">
        <v>569</v>
      </c>
      <c r="B115" s="11" t="s">
        <v>25</v>
      </c>
      <c r="C115" s="41" t="s">
        <v>779</v>
      </c>
      <c r="D115" s="42" t="s">
        <v>570</v>
      </c>
      <c r="E115" s="15"/>
      <c r="F115" s="10" t="s">
        <v>571</v>
      </c>
      <c r="G115" s="10"/>
      <c r="H115" s="10" t="s">
        <v>30</v>
      </c>
      <c r="I115" s="4" t="s">
        <v>130</v>
      </c>
      <c r="J115" s="10" t="s">
        <v>572</v>
      </c>
      <c r="K115" s="14" t="s">
        <v>132</v>
      </c>
      <c r="L115" s="12" t="str">
        <f t="shared" si="2"/>
        <v>Fail</v>
      </c>
      <c r="M115" s="10" t="s">
        <v>230</v>
      </c>
    </row>
    <row r="116" spans="1:13" s="32" customFormat="1" ht="45" x14ac:dyDescent="0.25">
      <c r="A116" s="29" t="s">
        <v>573</v>
      </c>
      <c r="B116" s="30" t="s">
        <v>25</v>
      </c>
      <c r="C116" s="57" t="s">
        <v>574</v>
      </c>
      <c r="D116" s="58" t="s">
        <v>575</v>
      </c>
      <c r="E116" s="31"/>
      <c r="F116" s="29" t="s">
        <v>576</v>
      </c>
      <c r="G116" s="29"/>
      <c r="H116" s="29" t="s">
        <v>30</v>
      </c>
      <c r="I116" s="32" t="s">
        <v>130</v>
      </c>
      <c r="J116" s="29" t="s">
        <v>572</v>
      </c>
      <c r="K116" s="29" t="s">
        <v>132</v>
      </c>
      <c r="L116" s="33" t="str">
        <f t="shared" si="2"/>
        <v>Fail</v>
      </c>
      <c r="M116" s="29" t="s">
        <v>236</v>
      </c>
    </row>
    <row r="117" spans="1:13" ht="45" x14ac:dyDescent="0.25">
      <c r="A117" s="10" t="s">
        <v>577</v>
      </c>
      <c r="B117" s="11" t="s">
        <v>25</v>
      </c>
      <c r="C117" s="41" t="s">
        <v>780</v>
      </c>
      <c r="D117" s="42" t="s">
        <v>578</v>
      </c>
      <c r="E117" s="10" t="s">
        <v>579</v>
      </c>
      <c r="F117" s="10" t="s">
        <v>580</v>
      </c>
      <c r="G117" s="10"/>
      <c r="H117" s="10" t="s">
        <v>30</v>
      </c>
      <c r="I117" s="4" t="s">
        <v>130</v>
      </c>
      <c r="J117" s="10" t="s">
        <v>581</v>
      </c>
      <c r="K117" s="14" t="s">
        <v>132</v>
      </c>
      <c r="L117" s="12" t="str">
        <f t="shared" si="2"/>
        <v>Fail</v>
      </c>
      <c r="M117" s="10" t="s">
        <v>242</v>
      </c>
    </row>
    <row r="118" spans="1:13" ht="45" x14ac:dyDescent="0.25">
      <c r="A118" s="10" t="s">
        <v>582</v>
      </c>
      <c r="B118" s="11" t="s">
        <v>25</v>
      </c>
      <c r="C118" s="41" t="s">
        <v>781</v>
      </c>
      <c r="D118" s="42" t="s">
        <v>583</v>
      </c>
      <c r="E118" s="10" t="s">
        <v>584</v>
      </c>
      <c r="F118" s="10" t="s">
        <v>585</v>
      </c>
      <c r="G118" s="10"/>
      <c r="H118" s="10" t="s">
        <v>30</v>
      </c>
      <c r="I118" s="4" t="s">
        <v>130</v>
      </c>
      <c r="J118" s="10" t="s">
        <v>581</v>
      </c>
      <c r="K118" s="14" t="s">
        <v>132</v>
      </c>
      <c r="L118" s="12" t="str">
        <f t="shared" si="2"/>
        <v>Fail</v>
      </c>
      <c r="M118" s="10" t="s">
        <v>255</v>
      </c>
    </row>
    <row r="119" spans="1:13" ht="45" x14ac:dyDescent="0.25">
      <c r="A119" s="10" t="s">
        <v>586</v>
      </c>
      <c r="B119" s="11" t="s">
        <v>25</v>
      </c>
      <c r="C119" s="41" t="s">
        <v>782</v>
      </c>
      <c r="D119" s="42" t="s">
        <v>587</v>
      </c>
      <c r="E119" s="10" t="s">
        <v>588</v>
      </c>
      <c r="F119" s="10" t="s">
        <v>589</v>
      </c>
      <c r="G119" s="10"/>
      <c r="H119" s="10" t="s">
        <v>30</v>
      </c>
      <c r="I119" s="4" t="s">
        <v>130</v>
      </c>
      <c r="J119" s="10" t="s">
        <v>581</v>
      </c>
      <c r="K119" s="14" t="s">
        <v>132</v>
      </c>
      <c r="L119" s="12" t="str">
        <f t="shared" si="2"/>
        <v>Fail</v>
      </c>
      <c r="M119" s="10" t="s">
        <v>315</v>
      </c>
    </row>
    <row r="120" spans="1:13" ht="45" x14ac:dyDescent="0.25">
      <c r="A120" s="10" t="s">
        <v>590</v>
      </c>
      <c r="B120" s="11" t="s">
        <v>25</v>
      </c>
      <c r="C120" s="41" t="s">
        <v>783</v>
      </c>
      <c r="D120" s="42" t="s">
        <v>591</v>
      </c>
      <c r="E120" s="34" t="s">
        <v>592</v>
      </c>
      <c r="F120" s="10" t="s">
        <v>593</v>
      </c>
      <c r="G120" s="10"/>
      <c r="H120" s="10" t="s">
        <v>30</v>
      </c>
      <c r="I120" s="4" t="s">
        <v>130</v>
      </c>
      <c r="J120" s="10" t="s">
        <v>594</v>
      </c>
      <c r="K120" s="14" t="s">
        <v>132</v>
      </c>
      <c r="L120" s="12" t="str">
        <f t="shared" si="2"/>
        <v>Fail</v>
      </c>
      <c r="M120" s="10" t="s">
        <v>333</v>
      </c>
    </row>
    <row r="121" spans="1:13" ht="30" x14ac:dyDescent="0.25">
      <c r="A121" s="10" t="s">
        <v>595</v>
      </c>
      <c r="B121" s="11" t="s">
        <v>25</v>
      </c>
      <c r="C121" s="41" t="s">
        <v>784</v>
      </c>
      <c r="D121" s="42" t="s">
        <v>596</v>
      </c>
      <c r="E121" s="35" t="s">
        <v>597</v>
      </c>
      <c r="F121" s="10" t="s">
        <v>598</v>
      </c>
      <c r="G121" s="10"/>
      <c r="H121" s="10" t="s">
        <v>30</v>
      </c>
      <c r="I121" s="4" t="s">
        <v>599</v>
      </c>
      <c r="J121" s="10" t="s">
        <v>600</v>
      </c>
      <c r="K121" s="14" t="s">
        <v>132</v>
      </c>
      <c r="L121" s="12" t="str">
        <f t="shared" si="2"/>
        <v>Pass</v>
      </c>
      <c r="M121" s="10" t="s">
        <v>347</v>
      </c>
    </row>
    <row r="122" spans="1:13" ht="45" x14ac:dyDescent="0.25">
      <c r="A122" s="10" t="s">
        <v>601</v>
      </c>
      <c r="B122" s="11" t="s">
        <v>25</v>
      </c>
      <c r="C122" s="41" t="s">
        <v>785</v>
      </c>
      <c r="D122" s="42" t="s">
        <v>602</v>
      </c>
      <c r="E122" s="36" t="s">
        <v>603</v>
      </c>
      <c r="F122" s="10" t="s">
        <v>604</v>
      </c>
      <c r="G122" s="10"/>
      <c r="H122" s="10" t="s">
        <v>30</v>
      </c>
      <c r="I122" s="4" t="s">
        <v>130</v>
      </c>
      <c r="J122" s="10" t="s">
        <v>594</v>
      </c>
      <c r="K122" s="14" t="s">
        <v>132</v>
      </c>
      <c r="L122" s="12" t="str">
        <f t="shared" si="2"/>
        <v>Fail</v>
      </c>
      <c r="M122" s="10" t="s">
        <v>605</v>
      </c>
    </row>
    <row r="123" spans="1:13" ht="45" x14ac:dyDescent="0.25">
      <c r="A123" s="10" t="s">
        <v>606</v>
      </c>
      <c r="B123" s="11" t="s">
        <v>25</v>
      </c>
      <c r="C123" s="41" t="s">
        <v>786</v>
      </c>
      <c r="D123" s="42" t="s">
        <v>607</v>
      </c>
      <c r="E123" s="10" t="s">
        <v>608</v>
      </c>
      <c r="F123" s="10" t="s">
        <v>609</v>
      </c>
      <c r="G123" s="10"/>
      <c r="H123" s="10" t="s">
        <v>30</v>
      </c>
      <c r="I123" s="4" t="s">
        <v>130</v>
      </c>
      <c r="J123" s="10" t="s">
        <v>610</v>
      </c>
      <c r="K123" s="14" t="s">
        <v>132</v>
      </c>
      <c r="L123" s="12" t="str">
        <f t="shared" si="2"/>
        <v>Fail</v>
      </c>
      <c r="M123" s="10" t="s">
        <v>611</v>
      </c>
    </row>
    <row r="124" spans="1:13" ht="45" x14ac:dyDescent="0.25">
      <c r="A124" s="10" t="s">
        <v>612</v>
      </c>
      <c r="B124" s="11" t="s">
        <v>25</v>
      </c>
      <c r="C124" s="41" t="s">
        <v>613</v>
      </c>
      <c r="D124" s="42" t="s">
        <v>614</v>
      </c>
      <c r="E124" s="34" t="s">
        <v>603</v>
      </c>
      <c r="F124" s="10" t="s">
        <v>615</v>
      </c>
      <c r="G124" s="10"/>
      <c r="H124" s="10" t="s">
        <v>30</v>
      </c>
      <c r="I124" s="4" t="s">
        <v>130</v>
      </c>
      <c r="J124" s="10" t="s">
        <v>610</v>
      </c>
      <c r="K124" s="14" t="s">
        <v>132</v>
      </c>
      <c r="L124" s="12" t="str">
        <f t="shared" si="2"/>
        <v>Fail</v>
      </c>
      <c r="M124" s="10" t="s">
        <v>616</v>
      </c>
    </row>
    <row r="125" spans="1:13" ht="45" x14ac:dyDescent="0.25">
      <c r="A125" s="10" t="s">
        <v>617</v>
      </c>
      <c r="B125" s="11" t="s">
        <v>25</v>
      </c>
      <c r="C125" s="41" t="s">
        <v>618</v>
      </c>
      <c r="D125" s="42" t="s">
        <v>619</v>
      </c>
      <c r="E125" s="10" t="s">
        <v>620</v>
      </c>
      <c r="F125" s="10" t="s">
        <v>621</v>
      </c>
      <c r="G125" s="10"/>
      <c r="H125" s="10" t="s">
        <v>30</v>
      </c>
      <c r="I125" s="4" t="s">
        <v>130</v>
      </c>
      <c r="J125" s="10" t="s">
        <v>610</v>
      </c>
      <c r="K125" s="14" t="s">
        <v>132</v>
      </c>
      <c r="L125" s="12" t="str">
        <f t="shared" si="2"/>
        <v>Fail</v>
      </c>
      <c r="M125" s="10" t="s">
        <v>622</v>
      </c>
    </row>
    <row r="126" spans="1:13" ht="45" x14ac:dyDescent="0.25">
      <c r="A126" s="10" t="s">
        <v>623</v>
      </c>
      <c r="B126" s="11" t="s">
        <v>25</v>
      </c>
      <c r="C126" s="41" t="s">
        <v>624</v>
      </c>
      <c r="D126" s="42" t="s">
        <v>619</v>
      </c>
      <c r="E126" s="22" t="s">
        <v>625</v>
      </c>
      <c r="F126" s="10" t="s">
        <v>626</v>
      </c>
      <c r="G126" s="10"/>
      <c r="H126" s="10" t="s">
        <v>30</v>
      </c>
      <c r="I126" s="4" t="s">
        <v>130</v>
      </c>
      <c r="J126" s="10" t="s">
        <v>627</v>
      </c>
      <c r="K126" s="14" t="s">
        <v>132</v>
      </c>
      <c r="L126" s="12" t="str">
        <f t="shared" si="2"/>
        <v>Fail</v>
      </c>
      <c r="M126" s="10" t="s">
        <v>628</v>
      </c>
    </row>
    <row r="127" spans="1:13" ht="45" x14ac:dyDescent="0.25">
      <c r="A127" s="10" t="s">
        <v>629</v>
      </c>
      <c r="B127" s="11" t="s">
        <v>25</v>
      </c>
      <c r="C127" s="41" t="s">
        <v>630</v>
      </c>
      <c r="D127" s="42" t="s">
        <v>619</v>
      </c>
      <c r="E127" s="22" t="s">
        <v>631</v>
      </c>
      <c r="F127" s="13" t="s">
        <v>632</v>
      </c>
      <c r="G127" s="10"/>
      <c r="H127" s="10" t="s">
        <v>30</v>
      </c>
      <c r="I127" s="4" t="s">
        <v>130</v>
      </c>
      <c r="J127" s="10" t="s">
        <v>627</v>
      </c>
      <c r="K127" s="14" t="s">
        <v>132</v>
      </c>
      <c r="L127" s="12" t="str">
        <f t="shared" si="2"/>
        <v>Fail</v>
      </c>
      <c r="M127" s="10" t="s">
        <v>633</v>
      </c>
    </row>
    <row r="128" spans="1:13" ht="45" x14ac:dyDescent="0.25">
      <c r="A128" s="10" t="s">
        <v>634</v>
      </c>
      <c r="B128" s="11" t="s">
        <v>25</v>
      </c>
      <c r="C128" s="41" t="s">
        <v>635</v>
      </c>
      <c r="D128" s="42" t="s">
        <v>636</v>
      </c>
      <c r="E128" s="22" t="s">
        <v>637</v>
      </c>
      <c r="F128" s="13" t="s">
        <v>638</v>
      </c>
      <c r="G128" s="10"/>
      <c r="H128" s="10" t="s">
        <v>30</v>
      </c>
      <c r="I128" s="4" t="s">
        <v>130</v>
      </c>
      <c r="J128" s="10" t="s">
        <v>639</v>
      </c>
      <c r="K128" s="14" t="s">
        <v>132</v>
      </c>
      <c r="L128" s="12" t="str">
        <f t="shared" si="2"/>
        <v>Fail</v>
      </c>
      <c r="M128" s="10" t="s">
        <v>640</v>
      </c>
    </row>
    <row r="129" spans="1:13" ht="45" x14ac:dyDescent="0.25">
      <c r="A129" s="10" t="s">
        <v>641</v>
      </c>
      <c r="B129" s="11" t="s">
        <v>25</v>
      </c>
      <c r="C129" s="41" t="s">
        <v>642</v>
      </c>
      <c r="D129" s="42" t="s">
        <v>643</v>
      </c>
      <c r="E129" s="10" t="s">
        <v>644</v>
      </c>
      <c r="F129" s="10" t="s">
        <v>645</v>
      </c>
      <c r="G129" s="10"/>
      <c r="H129" s="10" t="s">
        <v>30</v>
      </c>
      <c r="I129" s="4" t="s">
        <v>646</v>
      </c>
      <c r="J129" s="10" t="s">
        <v>647</v>
      </c>
      <c r="K129" s="14" t="s">
        <v>132</v>
      </c>
      <c r="L129" s="12" t="str">
        <f t="shared" si="2"/>
        <v>Pass</v>
      </c>
      <c r="M129" s="10" t="s">
        <v>648</v>
      </c>
    </row>
    <row r="130" spans="1:13" ht="45" x14ac:dyDescent="0.25">
      <c r="A130" s="10" t="s">
        <v>649</v>
      </c>
      <c r="B130" s="11" t="s">
        <v>25</v>
      </c>
      <c r="C130" s="41" t="s">
        <v>650</v>
      </c>
      <c r="D130" s="42" t="s">
        <v>651</v>
      </c>
      <c r="E130" s="10" t="s">
        <v>143</v>
      </c>
      <c r="F130" s="10" t="s">
        <v>652</v>
      </c>
      <c r="G130" s="10"/>
      <c r="H130" s="10" t="s">
        <v>30</v>
      </c>
      <c r="I130" s="4" t="s">
        <v>130</v>
      </c>
      <c r="J130" s="10" t="s">
        <v>639</v>
      </c>
      <c r="K130" s="14" t="s">
        <v>132</v>
      </c>
      <c r="L130" s="12" t="str">
        <f t="shared" si="2"/>
        <v>Fail</v>
      </c>
      <c r="M130" s="10" t="s">
        <v>653</v>
      </c>
    </row>
    <row r="131" spans="1:13" ht="45" x14ac:dyDescent="0.25">
      <c r="A131" s="10" t="s">
        <v>654</v>
      </c>
      <c r="B131" s="11" t="s">
        <v>25</v>
      </c>
      <c r="C131" s="41" t="s">
        <v>655</v>
      </c>
      <c r="D131" s="42" t="s">
        <v>656</v>
      </c>
      <c r="E131" s="10" t="s">
        <v>657</v>
      </c>
      <c r="F131" s="10" t="s">
        <v>658</v>
      </c>
      <c r="G131" s="10"/>
      <c r="H131" s="10" t="s">
        <v>30</v>
      </c>
      <c r="I131" s="4" t="s">
        <v>130</v>
      </c>
      <c r="J131" s="10" t="s">
        <v>659</v>
      </c>
      <c r="K131" s="14" t="s">
        <v>132</v>
      </c>
      <c r="L131" s="12" t="str">
        <f t="shared" si="2"/>
        <v>Fail</v>
      </c>
      <c r="M131" s="10" t="s">
        <v>660</v>
      </c>
    </row>
    <row r="132" spans="1:13" ht="45" x14ac:dyDescent="0.25">
      <c r="A132" s="10" t="s">
        <v>661</v>
      </c>
      <c r="B132" s="11" t="s">
        <v>25</v>
      </c>
      <c r="C132" s="41" t="s">
        <v>662</v>
      </c>
      <c r="D132" s="42" t="s">
        <v>663</v>
      </c>
      <c r="E132" s="10" t="s">
        <v>664</v>
      </c>
      <c r="F132" s="10" t="s">
        <v>665</v>
      </c>
      <c r="G132" s="10"/>
      <c r="H132" s="10" t="s">
        <v>30</v>
      </c>
      <c r="I132" s="4" t="s">
        <v>130</v>
      </c>
      <c r="J132" s="10" t="s">
        <v>659</v>
      </c>
      <c r="K132" s="14" t="s">
        <v>132</v>
      </c>
      <c r="L132" s="12" t="str">
        <f t="shared" si="2"/>
        <v>Fail</v>
      </c>
      <c r="M132" s="10" t="s">
        <v>666</v>
      </c>
    </row>
    <row r="133" spans="1:13" ht="45" x14ac:dyDescent="0.25">
      <c r="A133" s="10" t="s">
        <v>667</v>
      </c>
      <c r="B133" s="11" t="s">
        <v>25</v>
      </c>
      <c r="C133" s="41" t="s">
        <v>668</v>
      </c>
      <c r="D133" s="42" t="s">
        <v>669</v>
      </c>
      <c r="E133" s="10" t="s">
        <v>670</v>
      </c>
      <c r="F133" s="10" t="s">
        <v>671</v>
      </c>
      <c r="G133" s="10"/>
      <c r="H133" s="10" t="s">
        <v>30</v>
      </c>
      <c r="I133" s="4" t="s">
        <v>130</v>
      </c>
      <c r="J133" s="10" t="s">
        <v>659</v>
      </c>
      <c r="K133" s="14" t="s">
        <v>132</v>
      </c>
      <c r="L133" s="12" t="str">
        <f t="shared" si="2"/>
        <v>Fail</v>
      </c>
      <c r="M133" s="10" t="s">
        <v>672</v>
      </c>
    </row>
    <row r="134" spans="1:13" ht="45" x14ac:dyDescent="0.25">
      <c r="A134" s="10" t="s">
        <v>673</v>
      </c>
      <c r="B134" s="11" t="s">
        <v>25</v>
      </c>
      <c r="C134" s="41" t="s">
        <v>674</v>
      </c>
      <c r="D134" s="42" t="s">
        <v>663</v>
      </c>
      <c r="E134" s="10" t="s">
        <v>675</v>
      </c>
      <c r="F134" s="10" t="s">
        <v>676</v>
      </c>
      <c r="G134" s="10"/>
      <c r="H134" s="10" t="s">
        <v>30</v>
      </c>
      <c r="I134" s="10"/>
      <c r="J134" s="10"/>
      <c r="K134" s="14" t="s">
        <v>132</v>
      </c>
      <c r="L134" s="12" t="str">
        <f t="shared" si="2"/>
        <v/>
      </c>
      <c r="M134" s="10" t="s">
        <v>677</v>
      </c>
    </row>
    <row r="135" spans="1:13" ht="45" x14ac:dyDescent="0.25">
      <c r="A135" s="10" t="s">
        <v>678</v>
      </c>
      <c r="B135" s="11" t="s">
        <v>25</v>
      </c>
      <c r="C135" s="41" t="s">
        <v>679</v>
      </c>
      <c r="D135" s="42" t="s">
        <v>663</v>
      </c>
      <c r="E135" s="10" t="s">
        <v>553</v>
      </c>
      <c r="F135" s="10" t="s">
        <v>680</v>
      </c>
      <c r="G135" s="10"/>
      <c r="H135" s="10" t="s">
        <v>30</v>
      </c>
      <c r="I135" s="10"/>
      <c r="J135" s="10"/>
      <c r="K135" s="14" t="s">
        <v>132</v>
      </c>
      <c r="L135" s="12" t="str">
        <f t="shared" si="2"/>
        <v/>
      </c>
      <c r="M135" s="10" t="s">
        <v>681</v>
      </c>
    </row>
  </sheetData>
  <dataValidations count="16">
    <dataValidation type="list" allowBlank="1" showInputMessage="1" showErrorMessage="1" sqref="E28">
      <formula1>"Sakegaon,Karkhel,Nandeshwar"</formula1>
    </dataValidation>
    <dataValidation type="list" allowBlank="1" showInputMessage="1" showErrorMessage="1" sqref="E27">
      <formula1>"PALGHAR,BARAMATI,MANGALVEDHE"</formula1>
    </dataValidation>
    <dataValidation type="list" allowBlank="1" showInputMessage="1" showErrorMessage="1" sqref="E6">
      <formula1>" SBI522516345368,SBI521012338296,SBI615212459391"</formula1>
    </dataValidation>
    <dataValidation type="list" allowBlank="1" showInputMessage="1" showErrorMessage="1" sqref="E94">
      <formula1>"Father,Mother,Brother"</formula1>
    </dataValidation>
    <dataValidation type="list" allowBlank="1" showInputMessage="1" showErrorMessage="1" sqref="E35">
      <formula1>"Father,Mother"</formula1>
    </dataValidation>
    <dataValidation type="list" allowBlank="1" showInputMessage="1" showErrorMessage="1" sqref="G5 E90">
      <formula1>"Yes,No"</formula1>
    </dataValidation>
    <dataValidation type="list" allowBlank="1" showInputMessage="1" showErrorMessage="1" sqref="E71">
      <formula1>"Business,Professional,Private Sector"</formula1>
    </dataValidation>
    <dataValidation type="list" allowBlank="1" showInputMessage="1" showErrorMessage="1" sqref="E47">
      <formula1>"Salary,Business Income,Agriculture,Investment,Pension,Others"</formula1>
    </dataValidation>
    <dataValidation type="list" allowBlank="1" showInputMessage="1" showErrorMessage="1" sqref="E45 G98:G99">
      <formula1>"No,Yes"</formula1>
    </dataValidation>
    <dataValidation type="list" allowBlank="1" showInputMessage="1" showErrorMessage="1" sqref="E44">
      <formula1>"State Govt Service,Central Govt Service,Not Declared,Public Sector"</formula1>
    </dataValidation>
    <dataValidation type="list" allowBlank="1" showInputMessage="1" showErrorMessage="1" sqref="E43">
      <formula1>"State Govt Service,Medical Profession,Central Govt Service,Legal Profession"</formula1>
    </dataValidation>
    <dataValidation type="list" allowBlank="1" showInputMessage="1" showErrorMessage="1" sqref="E42">
      <formula1>"0,1,2,3,4,5,6,7,8,9,10"</formula1>
    </dataValidation>
    <dataValidation type="list" allowBlank="1" showInputMessage="1" showErrorMessage="1" sqref="E33">
      <formula1>"Married,Unmarried,Unknown/Others,Divorced"</formula1>
    </dataValidation>
    <dataValidation type="list" allowBlank="1" showInputMessage="1" showErrorMessage="1" sqref="E19">
      <formula1>"Form 60,PAN"</formula1>
    </dataValidation>
    <dataValidation type="list" allowBlank="1" showInputMessage="1" showErrorMessage="1" sqref="E12 E20 E59 E63 E67">
      <formula1>"Mr.,Master,Shri"</formula1>
    </dataValidation>
    <dataValidation type="list" allowBlank="1" showInputMessage="1" showErrorMessage="1" sqref="E26">
      <formula1>"Palghar,Karmala"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opLeftCell="A28" zoomScale="80" zoomScaleNormal="80" workbookViewId="0">
      <selection activeCell="J44" sqref="J44"/>
    </sheetView>
  </sheetViews>
  <sheetFormatPr defaultRowHeight="15" x14ac:dyDescent="0.25"/>
  <cols>
    <col min="1" max="1" customWidth="true" style="4" width="17.42578125" collapsed="true"/>
    <col min="2" max="2" customWidth="true" style="4" width="14.7109375" collapsed="true"/>
    <col min="3" max="3" customWidth="true" style="39" width="41.5703125" collapsed="true"/>
    <col min="4" max="4" customWidth="true" style="38" width="46.7109375" collapsed="true"/>
    <col min="5" max="5" customWidth="true" style="4" width="21.7109375" collapsed="true"/>
    <col min="6" max="6" customWidth="true" style="4" width="25.5703125" collapsed="true"/>
    <col min="7" max="7" customWidth="true" style="4" width="21.140625"/>
    <col min="8" max="8" customWidth="true" style="4" width="19.140625" collapsed="true"/>
    <col min="9" max="9" customWidth="true" style="4" width="44.42578125" collapsed="true"/>
    <col min="10" max="10" customWidth="true" style="4" width="22.5703125" collapsed="true"/>
    <col min="11" max="11" customWidth="true" style="4" width="18.5703125" collapsed="true"/>
    <col min="12" max="12" bestFit="true" customWidth="true" style="4" width="29.0" collapsed="true"/>
    <col min="13" max="13" customWidth="true" width="12.85546875" collapsed="true"/>
    <col min="14" max="14" style="4" width="9.140625" collapsed="true"/>
    <col min="15" max="15" style="4" width="9.140625"/>
    <col min="16" max="16384" style="4" width="9.140625" collapsed="true"/>
  </cols>
  <sheetData>
    <row r="1" spans="1:13" x14ac:dyDescent="0.25">
      <c r="A1" s="1" t="s">
        <v>0</v>
      </c>
      <c r="B1" s="2" t="s">
        <v>1</v>
      </c>
      <c r="C1" s="1" t="s">
        <v>2</v>
      </c>
      <c r="D1" s="3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>
        <v>11</v>
      </c>
      <c r="M1" s="4">
        <v>12</v>
      </c>
    </row>
    <row r="2" spans="1:13" ht="45" x14ac:dyDescent="0.25">
      <c r="A2" s="5" t="s">
        <v>11</v>
      </c>
      <c r="B2" s="6" t="s">
        <v>12</v>
      </c>
      <c r="C2" s="5" t="s">
        <v>13</v>
      </c>
      <c r="D2" s="7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5" t="s">
        <v>21</v>
      </c>
      <c r="L2" s="9" t="s">
        <v>22</v>
      </c>
      <c r="M2" s="8" t="s">
        <v>23</v>
      </c>
    </row>
    <row r="3" spans="1:13" ht="30" x14ac:dyDescent="0.25">
      <c r="A3" s="40" t="s">
        <v>808</v>
      </c>
      <c r="B3" s="40" t="s">
        <v>809</v>
      </c>
      <c r="C3" s="41" t="s">
        <v>26</v>
      </c>
      <c r="D3" s="42" t="s">
        <v>27</v>
      </c>
      <c r="E3" s="40"/>
      <c r="F3" s="40" t="s">
        <v>29</v>
      </c>
      <c r="G3" s="40"/>
      <c r="H3" s="10" t="s">
        <v>30</v>
      </c>
      <c r="I3" s="28" t="s">
        <v>794</v>
      </c>
      <c r="J3" s="10" t="s">
        <v>929</v>
      </c>
      <c r="K3" s="10" t="s">
        <v>31</v>
      </c>
      <c r="L3" s="12" t="str">
        <f>LEFT(J3,   4)</f>
        <v>Pass : 28/09/2026 11:56:28 am</v>
      </c>
      <c r="M3" s="10"/>
    </row>
    <row r="4" spans="1:13" ht="34.5" customHeight="1" x14ac:dyDescent="0.25">
      <c r="A4" s="40" t="s">
        <v>810</v>
      </c>
      <c r="B4" s="40" t="s">
        <v>809</v>
      </c>
      <c r="C4" s="41" t="s">
        <v>866</v>
      </c>
      <c r="D4" s="42" t="s">
        <v>867</v>
      </c>
      <c r="E4" s="40"/>
      <c r="F4" s="40" t="s">
        <v>840</v>
      </c>
      <c r="G4" s="40"/>
      <c r="H4" s="10" t="s">
        <v>30</v>
      </c>
      <c r="I4" s="28" t="s">
        <v>862</v>
      </c>
      <c r="J4" s="10" t="s">
        <v>930</v>
      </c>
      <c r="K4" s="10" t="s">
        <v>31</v>
      </c>
      <c r="L4" s="12" t="str">
        <f t="shared" ref="L4:L11" si="0">LEFT(J4,         4)</f>
        <v>Pass : 28/09/2026 11:56:29 am</v>
      </c>
      <c r="M4" s="10"/>
    </row>
    <row r="5" spans="1:13" ht="30.75" customHeight="1" x14ac:dyDescent="0.25">
      <c r="A5" s="40" t="s">
        <v>811</v>
      </c>
      <c r="B5" s="40" t="s">
        <v>809</v>
      </c>
      <c r="C5" s="41" t="s">
        <v>868</v>
      </c>
      <c r="D5" s="43" t="s">
        <v>869</v>
      </c>
      <c r="E5" s="59"/>
      <c r="F5" s="40" t="s">
        <v>841</v>
      </c>
      <c r="G5" s="40"/>
      <c r="H5" s="10" t="s">
        <v>30</v>
      </c>
      <c r="I5" s="28" t="s">
        <v>863</v>
      </c>
      <c r="J5" s="10" t="s">
        <v>930</v>
      </c>
      <c r="K5" s="10" t="s">
        <v>31</v>
      </c>
      <c r="L5" s="12" t="str">
        <f t="shared" si="0"/>
        <v>Pass : 28/09/2026 11:56:29 am</v>
      </c>
      <c r="M5" s="10"/>
    </row>
    <row r="6" spans="1:13" ht="45" customHeight="1" x14ac:dyDescent="0.25">
      <c r="A6" s="40" t="s">
        <v>812</v>
      </c>
      <c r="B6" s="40" t="s">
        <v>809</v>
      </c>
      <c r="C6" s="44" t="s">
        <v>57</v>
      </c>
      <c r="D6" s="43" t="s">
        <v>870</v>
      </c>
      <c r="E6" s="60"/>
      <c r="F6" s="61" t="s">
        <v>59</v>
      </c>
      <c r="G6" s="61"/>
      <c r="H6" s="10" t="s">
        <v>30</v>
      </c>
      <c r="I6" s="28" t="s">
        <v>60</v>
      </c>
      <c r="J6" s="10" t="s">
        <v>931</v>
      </c>
      <c r="K6" s="10" t="s">
        <v>31</v>
      </c>
      <c r="L6" s="12" t="str">
        <f>LEFT(J6,         4)</f>
        <v>Pass : 28/09/2026 11:56:34 am</v>
      </c>
      <c r="M6" s="10"/>
    </row>
    <row r="7" spans="1:13" ht="30" x14ac:dyDescent="0.25">
      <c r="A7" s="40" t="s">
        <v>813</v>
      </c>
      <c r="B7" s="40" t="s">
        <v>809</v>
      </c>
      <c r="C7" s="41" t="s">
        <v>871</v>
      </c>
      <c r="D7" s="43" t="s">
        <v>872</v>
      </c>
      <c r="E7" s="62" t="s">
        <v>842</v>
      </c>
      <c r="F7" s="61" t="s">
        <v>843</v>
      </c>
      <c r="G7" s="61" t="s">
        <v>843</v>
      </c>
      <c r="H7" s="10" t="s">
        <v>30</v>
      </c>
      <c r="I7" s="28" t="s">
        <v>864</v>
      </c>
      <c r="J7" s="10" t="s">
        <v>932</v>
      </c>
      <c r="K7" s="10" t="s">
        <v>31</v>
      </c>
      <c r="L7" s="12" t="str">
        <f t="shared" si="0"/>
        <v>Pass : 28/09/2026 11:56:35 am</v>
      </c>
      <c r="M7" s="10"/>
    </row>
    <row r="8" spans="1:13" ht="45" x14ac:dyDescent="0.25">
      <c r="A8" s="40" t="s">
        <v>814</v>
      </c>
      <c r="B8" s="40" t="s">
        <v>809</v>
      </c>
      <c r="C8" s="41" t="s">
        <v>873</v>
      </c>
      <c r="D8" s="43" t="s">
        <v>874</v>
      </c>
      <c r="E8" s="60"/>
      <c r="F8" s="61" t="s">
        <v>844</v>
      </c>
      <c r="G8" s="61"/>
      <c r="H8" s="10" t="s">
        <v>30</v>
      </c>
      <c r="I8" s="28" t="s">
        <v>130</v>
      </c>
      <c r="J8" s="10" t="s">
        <v>865</v>
      </c>
      <c r="K8" s="10" t="s">
        <v>132</v>
      </c>
      <c r="L8" s="12" t="str">
        <f t="shared" si="0"/>
        <v>Fail</v>
      </c>
      <c r="M8" s="10"/>
    </row>
    <row r="9" spans="1:13" ht="38.25" customHeight="1" x14ac:dyDescent="0.25">
      <c r="A9" s="40" t="s">
        <v>815</v>
      </c>
      <c r="B9" s="40" t="s">
        <v>809</v>
      </c>
      <c r="C9" s="44" t="s">
        <v>57</v>
      </c>
      <c r="D9" s="43" t="s">
        <v>870</v>
      </c>
      <c r="E9" s="60"/>
      <c r="F9" s="61" t="s">
        <v>59</v>
      </c>
      <c r="G9" s="61"/>
      <c r="H9" s="10" t="s">
        <v>30</v>
      </c>
      <c r="I9" s="28" t="s">
        <v>60</v>
      </c>
      <c r="J9" s="10" t="s">
        <v>933</v>
      </c>
      <c r="K9" s="10" t="s">
        <v>31</v>
      </c>
      <c r="L9" s="12" t="str">
        <f t="shared" si="0"/>
        <v>Pass : 28/09/2026 11:56:40 am</v>
      </c>
      <c r="M9" s="10"/>
    </row>
    <row r="10" spans="1:13" ht="30.75" customHeight="1" x14ac:dyDescent="0.25">
      <c r="A10" s="40" t="s">
        <v>816</v>
      </c>
      <c r="B10" s="40" t="s">
        <v>809</v>
      </c>
      <c r="C10" s="72" t="s">
        <v>895</v>
      </c>
      <c r="D10" s="72" t="s">
        <v>896</v>
      </c>
      <c r="E10" s="40" t="s">
        <v>1</v>
      </c>
      <c r="F10" s="40" t="s">
        <v>845</v>
      </c>
      <c r="G10" s="40"/>
      <c r="H10" s="10" t="s">
        <v>30</v>
      </c>
      <c r="I10" s="28" t="s">
        <v>894</v>
      </c>
      <c r="J10" s="10" t="s">
        <v>934</v>
      </c>
      <c r="K10" s="10" t="s">
        <v>31</v>
      </c>
      <c r="L10" s="12" t="str">
        <f t="shared" si="0"/>
        <v>Pass : 28/09/2026 11:56:42 am</v>
      </c>
      <c r="M10" s="10"/>
    </row>
    <row r="11" spans="1:13" ht="38.25" customHeight="1" x14ac:dyDescent="0.25">
      <c r="A11" s="40" t="s">
        <v>817</v>
      </c>
      <c r="B11" s="40" t="s">
        <v>809</v>
      </c>
      <c r="C11" s="44" t="s">
        <v>57</v>
      </c>
      <c r="D11" s="43" t="s">
        <v>870</v>
      </c>
      <c r="E11" s="60"/>
      <c r="F11" s="61" t="s">
        <v>59</v>
      </c>
      <c r="G11" s="61"/>
      <c r="H11" s="10" t="s">
        <v>30</v>
      </c>
      <c r="I11" s="28" t="s">
        <v>60</v>
      </c>
      <c r="J11" s="10" t="s">
        <v>935</v>
      </c>
      <c r="K11" s="10" t="s">
        <v>31</v>
      </c>
      <c r="L11" s="12" t="str">
        <f t="shared" si="0"/>
        <v>Pass : 28/09/2026 11:56:47 am</v>
      </c>
      <c r="M11" s="10"/>
    </row>
    <row r="12" spans="1:13" ht="51" customHeight="1" x14ac:dyDescent="0.25">
      <c r="A12" s="40" t="s">
        <v>818</v>
      </c>
      <c r="B12" s="40" t="s">
        <v>809</v>
      </c>
      <c r="C12" s="41" t="s">
        <v>875</v>
      </c>
      <c r="D12" s="42" t="s">
        <v>876</v>
      </c>
      <c r="E12" s="40" t="s">
        <v>236</v>
      </c>
      <c r="F12" s="61" t="s">
        <v>846</v>
      </c>
      <c r="G12" s="61" t="s">
        <v>846</v>
      </c>
      <c r="H12" s="10" t="s">
        <v>30</v>
      </c>
      <c r="I12" s="28" t="s">
        <v>130</v>
      </c>
      <c r="J12" s="10" t="s">
        <v>924</v>
      </c>
      <c r="K12" s="10" t="s">
        <v>31</v>
      </c>
      <c r="L12" s="12" t="str">
        <f t="shared" ref="L12:L40" si="1">LEFT(J12,4)</f>
        <v>Fail : 22/09/2026 5:17:55 pm</v>
      </c>
      <c r="M12" s="10"/>
    </row>
    <row r="13" spans="1:13" ht="45.75" customHeight="1" x14ac:dyDescent="0.25">
      <c r="A13" s="40" t="s">
        <v>819</v>
      </c>
      <c r="B13" s="40" t="s">
        <v>809</v>
      </c>
      <c r="C13" s="41" t="s">
        <v>877</v>
      </c>
      <c r="D13" s="43" t="s">
        <v>878</v>
      </c>
      <c r="E13" s="64" t="s">
        <v>283</v>
      </c>
      <c r="F13" s="40" t="s">
        <v>847</v>
      </c>
      <c r="G13" s="40"/>
      <c r="H13" s="10" t="s">
        <v>30</v>
      </c>
      <c r="I13" s="28" t="s">
        <v>897</v>
      </c>
      <c r="J13" s="10" t="s">
        <v>923</v>
      </c>
      <c r="K13" s="10" t="s">
        <v>31</v>
      </c>
      <c r="L13" s="12" t="str">
        <f t="shared" si="1"/>
        <v>Pass : 22/09/2026 5:17:55 pm</v>
      </c>
      <c r="M13" s="10"/>
    </row>
    <row r="14" spans="1:13" ht="51" customHeight="1" x14ac:dyDescent="0.25">
      <c r="A14" s="40" t="s">
        <v>820</v>
      </c>
      <c r="B14" s="40" t="s">
        <v>809</v>
      </c>
      <c r="C14" s="41" t="s">
        <v>879</v>
      </c>
      <c r="D14" s="42" t="s">
        <v>880</v>
      </c>
      <c r="E14" s="60"/>
      <c r="F14" s="40" t="s">
        <v>848</v>
      </c>
      <c r="G14" s="40"/>
      <c r="H14" s="10" t="s">
        <v>30</v>
      </c>
      <c r="I14" s="28" t="s">
        <v>898</v>
      </c>
      <c r="J14" s="10" t="s">
        <v>923</v>
      </c>
      <c r="K14" s="10" t="s">
        <v>31</v>
      </c>
      <c r="L14" s="12" t="str">
        <f t="shared" si="1"/>
        <v>Pass : 22/09/2026 5:17:55 pm</v>
      </c>
      <c r="M14" s="10"/>
    </row>
    <row r="15" spans="1:13" ht="62.25" customHeight="1" x14ac:dyDescent="0.25">
      <c r="A15" s="40" t="s">
        <v>821</v>
      </c>
      <c r="B15" s="40" t="s">
        <v>809</v>
      </c>
      <c r="C15" s="41" t="s">
        <v>883</v>
      </c>
      <c r="D15" s="42" t="s">
        <v>881</v>
      </c>
      <c r="E15" s="60"/>
      <c r="F15" s="40" t="s">
        <v>899</v>
      </c>
      <c r="G15" s="40"/>
      <c r="H15" s="10" t="s">
        <v>30</v>
      </c>
      <c r="I15" s="28" t="s">
        <v>900</v>
      </c>
      <c r="J15" s="10" t="s">
        <v>925</v>
      </c>
      <c r="K15" s="10" t="s">
        <v>31</v>
      </c>
      <c r="L15" s="12" t="str">
        <f t="shared" si="1"/>
        <v>Pass : 22/09/2026 5:18:01 pm</v>
      </c>
      <c r="M15" s="10"/>
    </row>
    <row r="16" spans="1:13" ht="48" customHeight="1" x14ac:dyDescent="0.25">
      <c r="A16" s="40" t="s">
        <v>822</v>
      </c>
      <c r="B16" s="40" t="s">
        <v>809</v>
      </c>
      <c r="C16" s="41" t="s">
        <v>884</v>
      </c>
      <c r="D16" s="42" t="s">
        <v>885</v>
      </c>
      <c r="E16" s="10" t="s">
        <v>240</v>
      </c>
      <c r="F16" s="40" t="s">
        <v>882</v>
      </c>
      <c r="G16" s="40"/>
      <c r="H16" s="14" t="s">
        <v>30</v>
      </c>
      <c r="I16" s="70" t="s">
        <v>902</v>
      </c>
      <c r="J16" s="14" t="s">
        <v>925</v>
      </c>
      <c r="K16" s="14" t="s">
        <v>31</v>
      </c>
      <c r="L16" s="20" t="str">
        <f t="shared" si="1"/>
        <v>Pass : 22/09/2026 5:18:01 pm</v>
      </c>
      <c r="M16" s="14"/>
    </row>
    <row r="17" spans="1:13" ht="48" customHeight="1" x14ac:dyDescent="0.25">
      <c r="A17" s="40" t="s">
        <v>823</v>
      </c>
      <c r="B17" s="40" t="s">
        <v>809</v>
      </c>
      <c r="C17" s="44" t="s">
        <v>57</v>
      </c>
      <c r="D17" s="43" t="s">
        <v>870</v>
      </c>
      <c r="E17" s="60"/>
      <c r="F17" s="61" t="s">
        <v>59</v>
      </c>
      <c r="G17" s="61"/>
      <c r="H17" s="10" t="s">
        <v>30</v>
      </c>
      <c r="I17" s="28" t="s">
        <v>130</v>
      </c>
      <c r="J17" s="10" t="s">
        <v>926</v>
      </c>
      <c r="K17" s="10" t="s">
        <v>31</v>
      </c>
      <c r="L17" s="12" t="str">
        <f t="shared" ref="L17" si="2">LEFT(J17,         4)</f>
        <v>Fail : 22/09/2026 5:18:16 pm</v>
      </c>
      <c r="M17" s="14"/>
    </row>
    <row r="18" spans="1:13" ht="48" customHeight="1" x14ac:dyDescent="0.25">
      <c r="A18" s="40" t="s">
        <v>824</v>
      </c>
      <c r="B18" s="40" t="s">
        <v>809</v>
      </c>
      <c r="C18" s="73" t="s">
        <v>905</v>
      </c>
      <c r="D18" s="73" t="s">
        <v>906</v>
      </c>
      <c r="E18" s="74" t="s">
        <v>28</v>
      </c>
      <c r="F18" s="75" t="s">
        <v>907</v>
      </c>
      <c r="G18" s="61"/>
      <c r="H18" s="10" t="s">
        <v>30</v>
      </c>
      <c r="I18" s="28" t="s">
        <v>130</v>
      </c>
      <c r="J18" s="10" t="s">
        <v>926</v>
      </c>
      <c r="K18" s="10" t="s">
        <v>31</v>
      </c>
      <c r="L18" s="12" t="str">
        <f t="shared" ref="L18:L20" si="3">LEFT(J18,         4)</f>
        <v>Fail : 22/09/2026 5:18:16 pm</v>
      </c>
      <c r="M18" s="14"/>
    </row>
    <row r="19" spans="1:13" ht="48" customHeight="1" x14ac:dyDescent="0.25">
      <c r="A19" s="40" t="s">
        <v>825</v>
      </c>
      <c r="B19" s="40" t="s">
        <v>809</v>
      </c>
      <c r="C19" s="73" t="s">
        <v>908</v>
      </c>
      <c r="D19" s="73" t="s">
        <v>909</v>
      </c>
      <c r="E19" s="74" t="s">
        <v>910</v>
      </c>
      <c r="F19" s="75" t="s">
        <v>911</v>
      </c>
      <c r="G19" s="61"/>
      <c r="H19" s="10" t="s">
        <v>30</v>
      </c>
      <c r="I19" s="28" t="s">
        <v>130</v>
      </c>
      <c r="J19" s="10" t="s">
        <v>927</v>
      </c>
      <c r="K19" s="10" t="s">
        <v>31</v>
      </c>
      <c r="L19" s="12" t="str">
        <f t="shared" si="3"/>
        <v>Fail : 22/09/2026 5:18:17 pm</v>
      </c>
      <c r="M19" s="14"/>
    </row>
    <row r="20" spans="1:13" ht="48" customHeight="1" x14ac:dyDescent="0.25">
      <c r="A20" s="40" t="s">
        <v>826</v>
      </c>
      <c r="B20" s="40" t="s">
        <v>809</v>
      </c>
      <c r="C20" s="76" t="s">
        <v>912</v>
      </c>
      <c r="D20" s="76" t="s">
        <v>913</v>
      </c>
      <c r="E20" s="64" t="s">
        <v>28</v>
      </c>
      <c r="F20" s="77" t="s">
        <v>914</v>
      </c>
      <c r="G20" s="61"/>
      <c r="H20" s="10" t="s">
        <v>30</v>
      </c>
      <c r="I20" s="28" t="s">
        <v>130</v>
      </c>
      <c r="J20" s="10" t="s">
        <v>928</v>
      </c>
      <c r="K20" s="10" t="s">
        <v>31</v>
      </c>
      <c r="L20" s="12" t="str">
        <f t="shared" si="3"/>
        <v>Fail : 22/09/2026 5:18:18 pm</v>
      </c>
      <c r="M20" s="14"/>
    </row>
    <row r="21" spans="1:13" ht="48" customHeight="1" x14ac:dyDescent="0.25">
      <c r="A21" s="40" t="s">
        <v>827</v>
      </c>
      <c r="B21" s="40" t="s">
        <v>809</v>
      </c>
      <c r="C21" s="41" t="s">
        <v>888</v>
      </c>
      <c r="D21" s="42" t="s">
        <v>889</v>
      </c>
      <c r="E21" s="60"/>
      <c r="F21" s="62" t="s">
        <v>887</v>
      </c>
      <c r="G21" s="40"/>
      <c r="H21" s="14" t="s">
        <v>30</v>
      </c>
      <c r="I21" s="70" t="s">
        <v>130</v>
      </c>
      <c r="J21" s="14" t="s">
        <v>919</v>
      </c>
      <c r="K21" s="14" t="s">
        <v>132</v>
      </c>
      <c r="L21" s="20" t="str">
        <f t="shared" ref="L21" si="4">LEFT(J21,4)</f>
        <v>Fail : 21/09/2026 2:00:31 pm</v>
      </c>
      <c r="M21" s="14"/>
    </row>
    <row r="22" spans="1:13" ht="48" customHeight="1" x14ac:dyDescent="0.25">
      <c r="A22" s="40" t="s">
        <v>828</v>
      </c>
      <c r="B22" s="40" t="s">
        <v>809</v>
      </c>
      <c r="C22" s="41" t="s">
        <v>891</v>
      </c>
      <c r="D22" s="42" t="s">
        <v>892</v>
      </c>
      <c r="E22" s="10" t="s">
        <v>1</v>
      </c>
      <c r="F22" s="40" t="s">
        <v>893</v>
      </c>
      <c r="G22" s="40"/>
      <c r="H22" s="14" t="s">
        <v>30</v>
      </c>
      <c r="I22" s="70" t="s">
        <v>130</v>
      </c>
      <c r="J22" s="14" t="s">
        <v>919</v>
      </c>
      <c r="K22" s="14" t="s">
        <v>132</v>
      </c>
      <c r="L22" s="20" t="str">
        <f t="shared" ref="L22" si="5">LEFT(J22,4)</f>
        <v>Fail : 21/09/2026 2:00:31 pm</v>
      </c>
      <c r="M22" s="14"/>
    </row>
    <row r="23" spans="1:13" ht="48.75" customHeight="1" x14ac:dyDescent="0.25">
      <c r="A23" s="40" t="s">
        <v>829</v>
      </c>
      <c r="B23" s="40" t="s">
        <v>809</v>
      </c>
      <c r="C23" s="41" t="s">
        <v>103</v>
      </c>
      <c r="D23" s="42" t="s">
        <v>104</v>
      </c>
      <c r="E23" s="60"/>
      <c r="F23" s="40" t="s">
        <v>466</v>
      </c>
      <c r="G23" s="40"/>
      <c r="H23" s="10" t="s">
        <v>30</v>
      </c>
      <c r="I23" s="28" t="s">
        <v>130</v>
      </c>
      <c r="J23" s="10" t="s">
        <v>919</v>
      </c>
      <c r="K23" s="14" t="s">
        <v>132</v>
      </c>
      <c r="L23" s="12" t="str">
        <f t="shared" si="1"/>
        <v>Fail : 21/09/2026 2:00:31 pm</v>
      </c>
      <c r="M23" s="10"/>
    </row>
    <row r="24" spans="1:13" ht="45.75" customHeight="1" x14ac:dyDescent="0.25">
      <c r="A24" s="40" t="s">
        <v>830</v>
      </c>
      <c r="B24" s="40" t="s">
        <v>809</v>
      </c>
      <c r="C24" s="41" t="s">
        <v>109</v>
      </c>
      <c r="D24" s="42" t="s">
        <v>86</v>
      </c>
      <c r="E24" s="60"/>
      <c r="F24" s="40" t="s">
        <v>849</v>
      </c>
      <c r="G24" s="40"/>
      <c r="H24" s="10" t="s">
        <v>30</v>
      </c>
      <c r="I24" s="28" t="s">
        <v>130</v>
      </c>
      <c r="J24" s="10" t="s">
        <v>919</v>
      </c>
      <c r="K24" s="14" t="s">
        <v>132</v>
      </c>
      <c r="L24" s="12" t="str">
        <f t="shared" si="1"/>
        <v>Fail : 21/09/2026 2:00:31 pm</v>
      </c>
      <c r="M24" s="10"/>
    </row>
    <row r="25" spans="1:13" ht="45" x14ac:dyDescent="0.25">
      <c r="A25" s="40" t="s">
        <v>831</v>
      </c>
      <c r="B25" s="40" t="s">
        <v>809</v>
      </c>
      <c r="C25" s="41" t="s">
        <v>754</v>
      </c>
      <c r="D25" s="42" t="s">
        <v>114</v>
      </c>
      <c r="E25" s="60"/>
      <c r="F25" s="40" t="s">
        <v>850</v>
      </c>
      <c r="G25" s="40"/>
      <c r="H25" s="10" t="s">
        <v>30</v>
      </c>
      <c r="I25" s="28" t="s">
        <v>130</v>
      </c>
      <c r="J25" s="10" t="s">
        <v>919</v>
      </c>
      <c r="K25" s="14" t="s">
        <v>132</v>
      </c>
      <c r="L25" s="12" t="str">
        <f t="shared" si="1"/>
        <v>Fail : 21/09/2026 2:00:31 pm</v>
      </c>
      <c r="M25" s="10"/>
    </row>
    <row r="26" spans="1:13" ht="45" x14ac:dyDescent="0.25">
      <c r="A26" s="40" t="s">
        <v>832</v>
      </c>
      <c r="B26" s="40" t="s">
        <v>809</v>
      </c>
      <c r="C26" s="41" t="s">
        <v>743</v>
      </c>
      <c r="D26" s="42" t="s">
        <v>119</v>
      </c>
      <c r="E26" s="60"/>
      <c r="F26" s="40" t="s">
        <v>851</v>
      </c>
      <c r="G26" s="40"/>
      <c r="H26" s="10" t="s">
        <v>30</v>
      </c>
      <c r="I26" s="28" t="s">
        <v>130</v>
      </c>
      <c r="J26" s="10" t="s">
        <v>919</v>
      </c>
      <c r="K26" s="14" t="s">
        <v>132</v>
      </c>
      <c r="L26" s="12" t="str">
        <f t="shared" si="1"/>
        <v>Fail : 21/09/2026 2:00:31 pm</v>
      </c>
      <c r="M26" s="10"/>
    </row>
    <row r="27" spans="1:13" ht="45" x14ac:dyDescent="0.25">
      <c r="A27" s="40" t="s">
        <v>833</v>
      </c>
      <c r="B27" s="40" t="s">
        <v>809</v>
      </c>
      <c r="C27" s="41" t="s">
        <v>755</v>
      </c>
      <c r="D27" s="42" t="s">
        <v>121</v>
      </c>
      <c r="E27" s="60"/>
      <c r="F27" s="40" t="s">
        <v>852</v>
      </c>
      <c r="G27" s="40"/>
      <c r="H27" s="10" t="s">
        <v>30</v>
      </c>
      <c r="I27" s="28" t="s">
        <v>130</v>
      </c>
      <c r="J27" s="10" t="s">
        <v>919</v>
      </c>
      <c r="K27" s="14" t="s">
        <v>132</v>
      </c>
      <c r="L27" s="12" t="str">
        <f t="shared" si="1"/>
        <v>Fail : 21/09/2026 2:00:31 pm</v>
      </c>
      <c r="M27" s="10"/>
    </row>
    <row r="28" spans="1:13" ht="45" x14ac:dyDescent="0.25">
      <c r="A28" s="40" t="s">
        <v>834</v>
      </c>
      <c r="B28" s="40" t="s">
        <v>809</v>
      </c>
      <c r="C28" s="41" t="s">
        <v>756</v>
      </c>
      <c r="D28" s="42" t="s">
        <v>125</v>
      </c>
      <c r="E28" s="60"/>
      <c r="F28" s="40" t="s">
        <v>853</v>
      </c>
      <c r="G28" s="40"/>
      <c r="H28" s="10" t="s">
        <v>30</v>
      </c>
      <c r="I28" s="28" t="s">
        <v>130</v>
      </c>
      <c r="J28" s="10" t="s">
        <v>920</v>
      </c>
      <c r="K28" s="14" t="s">
        <v>132</v>
      </c>
      <c r="L28" s="12" t="str">
        <f t="shared" si="1"/>
        <v>Fail : 21/09/2026 2:00:32 pm</v>
      </c>
      <c r="M28" s="10"/>
    </row>
    <row r="29" spans="1:13" ht="45" x14ac:dyDescent="0.25">
      <c r="A29" s="40" t="s">
        <v>835</v>
      </c>
      <c r="B29" s="40" t="s">
        <v>809</v>
      </c>
      <c r="C29" s="41" t="s">
        <v>745</v>
      </c>
      <c r="D29" s="42" t="s">
        <v>744</v>
      </c>
      <c r="E29" s="60"/>
      <c r="F29" s="40" t="s">
        <v>854</v>
      </c>
      <c r="G29" s="40"/>
      <c r="H29" s="10" t="s">
        <v>30</v>
      </c>
      <c r="I29" s="28" t="s">
        <v>130</v>
      </c>
      <c r="J29" s="10" t="s">
        <v>920</v>
      </c>
      <c r="K29" s="14" t="s">
        <v>132</v>
      </c>
      <c r="L29" s="12" t="str">
        <f t="shared" si="1"/>
        <v>Fail : 21/09/2026 2:00:32 pm</v>
      </c>
      <c r="M29" s="10"/>
    </row>
    <row r="30" spans="1:13" ht="45" x14ac:dyDescent="0.25">
      <c r="A30" s="40" t="s">
        <v>836</v>
      </c>
      <c r="B30" s="40" t="s">
        <v>809</v>
      </c>
      <c r="C30" s="41" t="s">
        <v>134</v>
      </c>
      <c r="D30" s="42" t="s">
        <v>135</v>
      </c>
      <c r="E30" s="60"/>
      <c r="F30" s="63" t="s">
        <v>41</v>
      </c>
      <c r="G30" s="63"/>
      <c r="H30" s="10" t="s">
        <v>30</v>
      </c>
      <c r="I30" s="28" t="s">
        <v>130</v>
      </c>
      <c r="J30" s="10" t="s">
        <v>920</v>
      </c>
      <c r="K30" s="14" t="s">
        <v>132</v>
      </c>
      <c r="L30" s="12" t="str">
        <f t="shared" si="1"/>
        <v>Fail : 21/09/2026 2:00:32 pm</v>
      </c>
      <c r="M30" s="10"/>
    </row>
    <row r="31" spans="1:13" ht="45" x14ac:dyDescent="0.25">
      <c r="A31" s="40" t="s">
        <v>837</v>
      </c>
      <c r="B31" s="40" t="s">
        <v>809</v>
      </c>
      <c r="C31" s="65" t="s">
        <v>141</v>
      </c>
      <c r="D31" s="66" t="s">
        <v>142</v>
      </c>
      <c r="E31" s="68"/>
      <c r="F31" s="69" t="s">
        <v>41</v>
      </c>
      <c r="G31" s="69"/>
      <c r="H31" s="22" t="s">
        <v>30</v>
      </c>
      <c r="I31" s="71" t="s">
        <v>130</v>
      </c>
      <c r="J31" s="22" t="s">
        <v>920</v>
      </c>
      <c r="K31" s="14" t="s">
        <v>132</v>
      </c>
      <c r="L31" s="67" t="str">
        <f t="shared" si="1"/>
        <v>Fail : 21/09/2026 2:00:32 pm</v>
      </c>
      <c r="M31" s="22"/>
    </row>
    <row r="32" spans="1:13" ht="45" x14ac:dyDescent="0.25">
      <c r="A32" s="40" t="s">
        <v>838</v>
      </c>
      <c r="B32" s="40" t="s">
        <v>809</v>
      </c>
      <c r="C32" s="41" t="s">
        <v>758</v>
      </c>
      <c r="D32" s="42" t="s">
        <v>147</v>
      </c>
      <c r="E32" s="60"/>
      <c r="F32" s="40" t="s">
        <v>855</v>
      </c>
      <c r="G32" s="40"/>
      <c r="H32" s="10" t="s">
        <v>30</v>
      </c>
      <c r="I32" s="28" t="s">
        <v>130</v>
      </c>
      <c r="J32" s="10" t="s">
        <v>920</v>
      </c>
      <c r="K32" s="14" t="s">
        <v>132</v>
      </c>
      <c r="L32" s="12" t="str">
        <f t="shared" si="1"/>
        <v>Fail : 21/09/2026 2:00:32 pm</v>
      </c>
      <c r="M32" s="10"/>
    </row>
    <row r="33" spans="1:13" ht="45" x14ac:dyDescent="0.25">
      <c r="A33" s="40" t="s">
        <v>839</v>
      </c>
      <c r="B33" s="40" t="s">
        <v>809</v>
      </c>
      <c r="C33" s="41" t="s">
        <v>746</v>
      </c>
      <c r="D33" s="42" t="s">
        <v>150</v>
      </c>
      <c r="E33" s="60"/>
      <c r="F33" s="40" t="s">
        <v>856</v>
      </c>
      <c r="G33" s="40"/>
      <c r="H33" s="10" t="s">
        <v>30</v>
      </c>
      <c r="I33" s="28" t="s">
        <v>130</v>
      </c>
      <c r="J33" s="10" t="s">
        <v>920</v>
      </c>
      <c r="K33" s="14" t="s">
        <v>132</v>
      </c>
      <c r="L33" s="12" t="str">
        <f>LEFT(J33,4)</f>
        <v>Fail : 21/09/2026 2:00:32 pm</v>
      </c>
      <c r="M33" s="10"/>
    </row>
    <row r="34" spans="1:13" ht="45" x14ac:dyDescent="0.25">
      <c r="A34" s="40" t="s">
        <v>886</v>
      </c>
      <c r="B34" s="40" t="s">
        <v>809</v>
      </c>
      <c r="C34" s="41" t="s">
        <v>759</v>
      </c>
      <c r="D34" s="42" t="s">
        <v>153</v>
      </c>
      <c r="E34" s="60"/>
      <c r="F34" s="40" t="s">
        <v>857</v>
      </c>
      <c r="G34" s="40"/>
      <c r="H34" s="10" t="s">
        <v>30</v>
      </c>
      <c r="I34" s="28" t="s">
        <v>130</v>
      </c>
      <c r="J34" s="10" t="s">
        <v>920</v>
      </c>
      <c r="K34" s="14" t="s">
        <v>132</v>
      </c>
      <c r="L34" s="12" t="str">
        <f>LEFT(J34,4)</f>
        <v>Fail : 21/09/2026 2:00:32 pm</v>
      </c>
      <c r="M34" s="14"/>
    </row>
    <row r="35" spans="1:13" ht="45" x14ac:dyDescent="0.25">
      <c r="A35" s="40" t="s">
        <v>890</v>
      </c>
      <c r="B35" s="40" t="s">
        <v>809</v>
      </c>
      <c r="C35" s="41" t="s">
        <v>748</v>
      </c>
      <c r="D35" s="42" t="s">
        <v>157</v>
      </c>
      <c r="E35" s="60"/>
      <c r="F35" s="40" t="s">
        <v>858</v>
      </c>
      <c r="G35" s="40"/>
      <c r="H35" s="10" t="s">
        <v>30</v>
      </c>
      <c r="I35" s="28" t="s">
        <v>130</v>
      </c>
      <c r="J35" s="10" t="s">
        <v>920</v>
      </c>
      <c r="K35" s="14" t="s">
        <v>132</v>
      </c>
      <c r="L35" s="12" t="str">
        <f t="shared" si="1"/>
        <v>Fail : 21/09/2026 2:00:32 pm</v>
      </c>
      <c r="M35" s="10"/>
    </row>
    <row r="36" spans="1:13" ht="45" x14ac:dyDescent="0.25">
      <c r="A36" s="40" t="s">
        <v>901</v>
      </c>
      <c r="B36" s="40" t="s">
        <v>809</v>
      </c>
      <c r="C36" s="41" t="s">
        <v>749</v>
      </c>
      <c r="D36" s="42" t="s">
        <v>162</v>
      </c>
      <c r="E36" s="60"/>
      <c r="F36" s="40" t="s">
        <v>859</v>
      </c>
      <c r="G36" s="40"/>
      <c r="H36" s="10" t="s">
        <v>30</v>
      </c>
      <c r="I36" s="28" t="s">
        <v>130</v>
      </c>
      <c r="J36" s="10" t="s">
        <v>920</v>
      </c>
      <c r="K36" s="14" t="s">
        <v>132</v>
      </c>
      <c r="L36" s="12" t="str">
        <f t="shared" si="1"/>
        <v>Fail : 21/09/2026 2:00:32 pm</v>
      </c>
      <c r="M36" s="14"/>
    </row>
    <row r="37" spans="1:13" ht="45" x14ac:dyDescent="0.25">
      <c r="A37" s="40" t="s">
        <v>915</v>
      </c>
      <c r="B37" s="40" t="s">
        <v>809</v>
      </c>
      <c r="C37" s="41" t="s">
        <v>747</v>
      </c>
      <c r="D37" s="42" t="s">
        <v>169</v>
      </c>
      <c r="E37" s="60"/>
      <c r="F37" s="40" t="s">
        <v>860</v>
      </c>
      <c r="G37" s="40"/>
      <c r="H37" s="10" t="s">
        <v>30</v>
      </c>
      <c r="I37" s="28" t="s">
        <v>130</v>
      </c>
      <c r="J37" s="10" t="s">
        <v>921</v>
      </c>
      <c r="K37" s="14" t="s">
        <v>132</v>
      </c>
      <c r="L37" s="12" t="str">
        <f t="shared" si="1"/>
        <v>Fail : 21/09/2026 2:00:33 pm</v>
      </c>
      <c r="M37" s="10"/>
    </row>
    <row r="38" spans="1:13" ht="30" x14ac:dyDescent="0.25">
      <c r="A38" s="40" t="s">
        <v>916</v>
      </c>
      <c r="B38" s="40" t="s">
        <v>809</v>
      </c>
      <c r="C38" s="41" t="s">
        <v>750</v>
      </c>
      <c r="D38" s="42" t="s">
        <v>174</v>
      </c>
      <c r="E38" s="60"/>
      <c r="F38" s="61" t="s">
        <v>861</v>
      </c>
      <c r="G38" s="61"/>
      <c r="H38" s="10" t="s">
        <v>30</v>
      </c>
      <c r="I38" s="28" t="s">
        <v>903</v>
      </c>
      <c r="J38" s="10" t="s">
        <v>922</v>
      </c>
      <c r="K38" s="14" t="s">
        <v>132</v>
      </c>
      <c r="L38" s="12" t="str">
        <f t="shared" si="1"/>
        <v>Pass : 21/09/2026 2:00:43 pm</v>
      </c>
      <c r="M38" s="10"/>
    </row>
    <row r="39" spans="1:13" ht="30" x14ac:dyDescent="0.25">
      <c r="A39" s="40" t="s">
        <v>917</v>
      </c>
      <c r="B39" s="40" t="s">
        <v>809</v>
      </c>
      <c r="C39" s="41" t="s">
        <v>751</v>
      </c>
      <c r="D39" s="42" t="s">
        <v>179</v>
      </c>
      <c r="E39" s="60"/>
      <c r="F39" s="61" t="s">
        <v>861</v>
      </c>
      <c r="G39" s="61"/>
      <c r="H39" s="10" t="s">
        <v>30</v>
      </c>
      <c r="I39" s="28" t="s">
        <v>903</v>
      </c>
      <c r="J39" s="10" t="s">
        <v>904</v>
      </c>
      <c r="K39" s="14" t="s">
        <v>132</v>
      </c>
      <c r="L39" s="12" t="str">
        <f t="shared" si="1"/>
        <v>Pass</v>
      </c>
      <c r="M39" s="10"/>
    </row>
    <row r="40" spans="1:13" s="21" customFormat="1" ht="30" x14ac:dyDescent="0.25">
      <c r="A40" s="40" t="s">
        <v>918</v>
      </c>
      <c r="B40" s="40" t="s">
        <v>809</v>
      </c>
      <c r="C40" s="48" t="s">
        <v>752</v>
      </c>
      <c r="D40" s="49" t="s">
        <v>184</v>
      </c>
      <c r="E40" s="14" t="s">
        <v>185</v>
      </c>
      <c r="F40" s="14" t="s">
        <v>186</v>
      </c>
      <c r="G40" s="14"/>
      <c r="H40" s="14" t="s">
        <v>30</v>
      </c>
      <c r="I40" s="70" t="s">
        <v>187</v>
      </c>
      <c r="J40" s="14" t="s">
        <v>789</v>
      </c>
      <c r="K40" s="14" t="s">
        <v>132</v>
      </c>
      <c r="L40" s="20" t="str">
        <f t="shared" si="1"/>
        <v>Pass</v>
      </c>
      <c r="M40" s="14"/>
    </row>
  </sheetData>
  <dataValidations count="4">
    <dataValidation type="list" allowBlank="1" showInputMessage="1" showErrorMessage="1" sqref="E16">
      <formula1>"Yes,No"</formula1>
    </dataValidation>
    <dataValidation type="list" allowBlank="1" showInputMessage="1" showErrorMessage="1" sqref="F30:G31">
      <formula1>"'Yes,No"</formula1>
    </dataValidation>
    <dataValidation type="list" operator="equal" allowBlank="1" showInputMessage="1" showErrorMessage="1" sqref="E10">
      <formula1>"'1,'2"</formula1>
    </dataValidation>
    <dataValidation type="list" allowBlank="1" showInputMessage="1" showErrorMessage="1" sqref="E12">
      <formula1>"'6,'12,'24,'36"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eKYC</vt:lpstr>
      <vt:lpstr>RDSTDR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2026-10-06T12:15:25Z</dcterms:modified>
</cp:coreProperties>
</file>